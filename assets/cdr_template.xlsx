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 Ann\Desktop\joannmarie\assets\"/>
    </mc:Choice>
  </mc:AlternateContent>
  <bookViews>
    <workbookView xWindow="0" yWindow="0" windowWidth="20490" windowHeight="9165"/>
  </bookViews>
  <sheets>
    <sheet name="Cabacungan ES-Q1" sheetId="1" r:id="rId1"/>
    <sheet name="Cabacungan ES-Q2" sheetId="2" r:id="rId2"/>
    <sheet name="UACS" sheetId="3" r:id="rId3"/>
  </sheets>
  <calcPr calcId="152511"/>
  <definedNames>
    <definedName name="_xlnm.Print_Area" localSheetId="0">'Cabacungan ES-Q1'!$A$1:$L$95</definedName>
    <definedName name="_xlnm.Print_Titles" localSheetId="0">'Cabacungan ES-Q1'!$14:$18</definedName>
  </definedNames>
</workbook>
</file>

<file path=xl/calcChain.xml><?xml version="1.0" encoding="utf-8"?>
<calcChain xmlns="http://schemas.openxmlformats.org/spreadsheetml/2006/main">
  <c r="L76" i="2" l="1"/>
  <c r="L57" i="2"/>
  <c r="I57" i="2"/>
  <c r="H57" i="2"/>
  <c r="G57" i="2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6" i="2" s="1"/>
  <c r="L68" i="1"/>
  <c r="L67" i="1"/>
  <c r="L66" i="1"/>
  <c r="L65" i="1"/>
  <c r="L64" i="1"/>
  <c r="L63" i="1"/>
  <c r="L62" i="1"/>
  <c r="L61" i="1"/>
  <c r="L75" i="1" s="1"/>
  <c r="L57" i="1"/>
  <c r="I57" i="1"/>
  <c r="H57" i="1"/>
  <c r="G57" i="1"/>
  <c r="F20" i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6" i="1" s="1"/>
</calcChain>
</file>

<file path=xl/sharedStrings.xml><?xml version="1.0" encoding="utf-8"?>
<sst xmlns="http://schemas.openxmlformats.org/spreadsheetml/2006/main" count="248" uniqueCount="139">
  <si>
    <t>DEPED LEYTE DIVISION</t>
  </si>
  <si>
    <t>CABACUNGAN ELEMENTARY SCHOOL</t>
  </si>
  <si>
    <t>Appendix 43</t>
  </si>
  <si>
    <t>CASH DISBURSEMENTS REGISTER</t>
  </si>
  <si>
    <t>Entity Name: CABACUNGAN ELEMENTARY SCHOOL</t>
  </si>
  <si>
    <t>Name of Accountable Officer: ROSALIE C. PALAÑA</t>
  </si>
  <si>
    <t>Sub-Office/District/Division: DULAG WEST DISTRICT</t>
  </si>
  <si>
    <t>Official Designation: PRINCIPAL II</t>
  </si>
  <si>
    <t>Municipality/City/Province: DULAG, LEYTE</t>
  </si>
  <si>
    <t>Station: CABACUNGAN ES</t>
  </si>
  <si>
    <t>Fund Cluster : 01-REGULAR</t>
  </si>
  <si>
    <t>Register No. : __________________________________</t>
  </si>
  <si>
    <t>Sheet No. : ____________________________________</t>
  </si>
  <si>
    <t>Date</t>
  </si>
  <si>
    <t>DV/Payroll/ Check No.</t>
  </si>
  <si>
    <t>Particulars</t>
  </si>
  <si>
    <t>Advances for 
 Operating Expenses</t>
  </si>
  <si>
    <t>BREAKDOWN OF PAYMENTS</t>
  </si>
  <si>
    <t>Amount</t>
  </si>
  <si>
    <t>Office Supplies Expenses</t>
  </si>
  <si>
    <t>Other General Services</t>
  </si>
  <si>
    <t>Janitorial Services</t>
  </si>
  <si>
    <t>O T H E R S</t>
  </si>
  <si>
    <t>Cash Advance</t>
  </si>
  <si>
    <t>Payments</t>
  </si>
  <si>
    <t>Balance</t>
  </si>
  <si>
    <t>Account Description</t>
  </si>
  <si>
    <t>UACS Object Code</t>
  </si>
  <si>
    <t>Advances for Operating Expenses-1st Quarter MOOE</t>
  </si>
  <si>
    <t>2026-02-001 1496368</t>
  </si>
  <si>
    <t>Payment for Janitorial Services for the month of January 2026</t>
  </si>
  <si>
    <t>2026-02-002 1496369</t>
  </si>
  <si>
    <t>2026-02-003 1496370</t>
  </si>
  <si>
    <t>Payment for watchman for the month of January 2026</t>
  </si>
  <si>
    <t>2026-02-004 1496371</t>
  </si>
  <si>
    <t>Payment for labor of lawn mower for the month of January 2026</t>
  </si>
  <si>
    <t>2026-02-005 1496372</t>
  </si>
  <si>
    <t>Payment for Internet Services for the month of  January 2026</t>
  </si>
  <si>
    <t>Internet Subcription Expenses</t>
  </si>
  <si>
    <t>2026-02-006 1496373</t>
  </si>
  <si>
    <t>Payment for Electricity Expenses for the month of January 2026</t>
  </si>
  <si>
    <t>Electricity Expenses</t>
  </si>
  <si>
    <t>2026-02-007 1496374</t>
  </si>
  <si>
    <t>Reimbursement of travel expenses of Jo Ann Marie Cagara for the month of January 2026</t>
  </si>
  <si>
    <t>Travelling Expenses-Local</t>
  </si>
  <si>
    <t>2026-02-008 1496375</t>
  </si>
  <si>
    <t>Payment for the purchase of office supplies</t>
  </si>
  <si>
    <t>2026-02-009 1496376</t>
  </si>
  <si>
    <t>2026-02-010 1496377</t>
  </si>
  <si>
    <t>Payment for the purchase of 3 TVs.</t>
  </si>
  <si>
    <t>Other Supplies and Materials Expenses</t>
  </si>
  <si>
    <t>2026-02-011 1496378</t>
  </si>
  <si>
    <t>Payment for Internet Services for the month of  February 2026</t>
  </si>
  <si>
    <t>2026-02-012 1496379</t>
  </si>
  <si>
    <t>Payment for Electricity Expenses for the month of February 2026</t>
  </si>
  <si>
    <t>2026-02-013 1496380</t>
  </si>
  <si>
    <t>2026-02-014 1496381</t>
  </si>
  <si>
    <t>2026-02-015 1496382</t>
  </si>
  <si>
    <t>2026-02-016 1496384</t>
  </si>
  <si>
    <t>Payment for labor of lawn mower for the month of February 2026</t>
  </si>
  <si>
    <t>2026-03-017 1496385</t>
  </si>
  <si>
    <t>Reimbursement various expenses</t>
  </si>
  <si>
    <t>Accountable Forms</t>
  </si>
  <si>
    <t>Printing and Publication Expenses</t>
  </si>
  <si>
    <t>2026-03-018 1496386</t>
  </si>
  <si>
    <t>Reimbursement of travel expenses of Jo Ann Marie Cagara for the month of February 2026</t>
  </si>
  <si>
    <t>2026-03-019 1496387</t>
  </si>
  <si>
    <t>Reimbursement of Training Expenses of ROSALIE C. PALAÑA for the Month of February and March 2026.</t>
  </si>
  <si>
    <t>Training Expenses</t>
  </si>
  <si>
    <t>2026-03-020 1496389</t>
  </si>
  <si>
    <t>Payment for the purchase of 2 unit Fire Extinguisher</t>
  </si>
  <si>
    <t>2026-03-021 1496390</t>
  </si>
  <si>
    <t>Payment for 4 printer repairs</t>
  </si>
  <si>
    <t>Repairs and Maintenance-Office Equipment</t>
  </si>
  <si>
    <t>2026-03-022 1496391</t>
  </si>
  <si>
    <t>Payment for Internet Services for the month of  MARCH 2026</t>
  </si>
  <si>
    <t>2026-03-023 1496392</t>
  </si>
  <si>
    <t>Payment for Electricity Expenses for the month of MARCH 2026</t>
  </si>
  <si>
    <t>2026-03-024 1496393</t>
  </si>
  <si>
    <t>Reimbursement of travel expenses of Jo Ann Marie Cagara for the month of March 2026</t>
  </si>
  <si>
    <t>2026-03-025 1496394</t>
  </si>
  <si>
    <t>Payment for the purchase of 1 TV.</t>
  </si>
  <si>
    <t>2026-03-026 1496395</t>
  </si>
  <si>
    <t>Claritee Graphics &amp; Copy Center</t>
  </si>
  <si>
    <t>2026-03-027 1496396</t>
  </si>
  <si>
    <t xml:space="preserve">Payment for Graduation &amp; Moving Up Decoration </t>
  </si>
  <si>
    <t>2026-03-028 1496397</t>
  </si>
  <si>
    <t>Payment for Janitorial Services for the month of MARCH 2026</t>
  </si>
  <si>
    <t>2026-03-029 1496398</t>
  </si>
  <si>
    <t>2026-03-030 1496399</t>
  </si>
  <si>
    <t>Payment for watchman for the month of MARCH 2026</t>
  </si>
  <si>
    <t xml:space="preserve"> </t>
  </si>
  <si>
    <t>2026-03-031 1496400</t>
  </si>
  <si>
    <t>Payment for labor of lawn mower for the month of March 2026</t>
  </si>
  <si>
    <t>2026-03-032 1545801</t>
  </si>
  <si>
    <t>Postage and Courier Services</t>
  </si>
  <si>
    <t>2026-04-033 1545802</t>
  </si>
  <si>
    <t>Payment for purchasing Office Supplies</t>
  </si>
  <si>
    <t>Totals</t>
  </si>
  <si>
    <t>Recapitulation:</t>
  </si>
  <si>
    <t>Total</t>
  </si>
  <si>
    <t>The total of the ‘Advances for Operating Expenses – Payments’ column must always be equal to the sum of the totals of the ‘Breakdown of Payments’ columns.</t>
  </si>
  <si>
    <t>CERTIFIED CORRECT:</t>
  </si>
  <si>
    <t>RECEIVED BY:</t>
  </si>
  <si>
    <t>ROSALIE C. PALAÑA</t>
  </si>
  <si>
    <t>JO ANN MARIE P. CAGARA</t>
  </si>
  <si>
    <t>Principal II</t>
  </si>
  <si>
    <t>ADAS III(Senior Bookkeeper)</t>
  </si>
  <si>
    <t>Date: ____________________</t>
  </si>
  <si>
    <t>Date: ______________________</t>
  </si>
  <si>
    <t>Advances for Operating Expenses-2nd Quarter MOOE</t>
  </si>
  <si>
    <t>2026-04-001 1545807</t>
  </si>
  <si>
    <t>Payment for Electricity Expenses for the month of APRIL 2026</t>
  </si>
  <si>
    <t>2026-04-002 1545809</t>
  </si>
  <si>
    <t>Payment for Internet Services for the month of  APRIL 2026</t>
  </si>
  <si>
    <t>2026-04-003 1545810</t>
  </si>
  <si>
    <t>Payment for labor of lawn mower for the month of APRIL 2026</t>
  </si>
  <si>
    <t>2026-04-004 1545811</t>
  </si>
  <si>
    <t>Payment for watchman for the month of APRIL 2026</t>
  </si>
  <si>
    <t>2026-04-005 1545812</t>
  </si>
  <si>
    <t>Payment for Janitorial Services for the month of APRIL 2026</t>
  </si>
  <si>
    <t>2026-04-006 1545814</t>
  </si>
  <si>
    <t>2026-05-007 1545815</t>
  </si>
  <si>
    <t>Payment for the purchase of Office Chair</t>
  </si>
  <si>
    <t>2026-05-008 1545817</t>
  </si>
  <si>
    <t>Reimbursement of Training Expenses of ROSALIE C. PALAÑA for the Month of April 2026.</t>
  </si>
  <si>
    <t xml:space="preserve">2026- 05-009 </t>
  </si>
  <si>
    <t>Reimbursement of Training Expenses of JERALYN S. PEQUE and FERLYN L. CALDA for the Month of May 2026.</t>
  </si>
  <si>
    <t>Drugs and Medicines Expenses</t>
  </si>
  <si>
    <t>Fuel, Oil and Lubricant Expenses</t>
  </si>
  <si>
    <t>Water Expenses</t>
  </si>
  <si>
    <t>Telephone Expenses-Mobile</t>
  </si>
  <si>
    <t>Security Services</t>
  </si>
  <si>
    <t>Repairs and Maintenance-School Buidling</t>
  </si>
  <si>
    <t>Fidelity Bond Premiums</t>
  </si>
  <si>
    <t>ACCOUNT TITLE</t>
  </si>
  <si>
    <t>UACS</t>
  </si>
  <si>
    <t>Cable, Satellite, Telegraph and Radio Expenses</t>
  </si>
  <si>
    <t>Other 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</si>
</sst>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3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&quot;Times New Roman&quot;"/>
    </font>
    <font>
      <i/>
      <sz val="14"/>
      <color theme="1"/>
      <name val="&quot;Times New Roman&quot;"/>
    </font>
    <font>
      <b/>
      <sz val="14"/>
      <color theme="1"/>
      <name val="&quot;Times New Roman&quot;"/>
    </font>
    <font>
      <sz val="14"/>
      <color theme="1"/>
      <name val="&quot;Times New Roman&quot;"/>
    </font>
    <font>
      <b/>
      <sz val="11"/>
      <color theme="1"/>
      <name val="&quot;Times New Roman&quot;"/>
    </font>
    <font>
      <sz val="11"/>
      <color theme="1"/>
      <name val="&quot;Times New Roman&quot;"/>
    </font>
    <font>
      <sz val="10"/>
      <name val="Arial"/>
    </font>
    <font>
      <b/>
      <sz val="10"/>
      <color theme="1"/>
      <name val="&quot;Times New Roman&quot;"/>
    </font>
    <font>
      <sz val="8"/>
      <color theme="1"/>
      <name val="&quot;Times New Roman&quot;"/>
    </font>
    <font>
      <b/>
      <sz val="10"/>
      <color theme="1"/>
      <name val="&quot;Times New Roman&quot;"/>
    </font>
    <font>
      <sz val="10"/>
      <color theme="1"/>
      <name val="&quot;Times New Roman&quot;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Times New Roman"/>
    </font>
    <font>
      <b/>
      <sz val="9"/>
      <color theme="1"/>
      <name val="&quot;Times New Roman&quot;"/>
    </font>
    <font>
      <sz val="9"/>
      <color theme="1"/>
      <name val="&quot;Times New Roman&quot;"/>
    </font>
    <font>
      <b/>
      <sz val="8"/>
      <color theme="1"/>
      <name val="&quot;Times New Roman&quot;"/>
    </font>
    <font>
      <b/>
      <u/>
      <sz val="11"/>
      <color theme="1"/>
      <name val="&quot;Times New Roman&quot;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/>
    <xf numFmtId="0" fontId="9" fillId="0" borderId="0" xfId="0" applyFont="1" applyAlignment="1"/>
    <xf numFmtId="0" fontId="2" fillId="0" borderId="6" xfId="0" applyFont="1" applyBorder="1" applyAlignment="1">
      <alignment horizontal="center" wrapText="1"/>
    </xf>
    <xf numFmtId="0" fontId="10" fillId="0" borderId="0" xfId="0" applyFont="1" applyAlignment="1"/>
    <xf numFmtId="164" fontId="11" fillId="0" borderId="10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wrapText="1"/>
    </xf>
    <xf numFmtId="4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left"/>
    </xf>
    <xf numFmtId="4" fontId="13" fillId="0" borderId="6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wrapText="1"/>
    </xf>
    <xf numFmtId="0" fontId="13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0" fontId="13" fillId="0" borderId="6" xfId="0" applyFont="1" applyBorder="1" applyAlignment="1">
      <alignment vertical="center" wrapText="1"/>
    </xf>
    <xf numFmtId="4" fontId="14" fillId="2" borderId="6" xfId="0" applyNumberFormat="1" applyFont="1" applyFill="1" applyBorder="1" applyAlignment="1">
      <alignment horizontal="center"/>
    </xf>
    <xf numFmtId="4" fontId="13" fillId="2" borderId="6" xfId="0" applyNumberFormat="1" applyFont="1" applyFill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10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4" fontId="13" fillId="0" borderId="6" xfId="0" applyNumberFormat="1" applyFont="1" applyBorder="1" applyAlignment="1">
      <alignment horizontal="center" vertical="center"/>
    </xf>
    <xf numFmtId="4" fontId="13" fillId="0" borderId="6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wrapText="1"/>
    </xf>
    <xf numFmtId="4" fontId="13" fillId="0" borderId="6" xfId="0" applyNumberFormat="1" applyFont="1" applyBorder="1" applyAlignment="1">
      <alignment horizontal="center" wrapText="1"/>
    </xf>
    <xf numFmtId="0" fontId="15" fillId="0" borderId="11" xfId="0" applyFont="1" applyBorder="1" applyAlignment="1"/>
    <xf numFmtId="0" fontId="13" fillId="0" borderId="11" xfId="0" applyFont="1" applyBorder="1" applyAlignment="1">
      <alignment wrapText="1"/>
    </xf>
    <xf numFmtId="0" fontId="13" fillId="0" borderId="6" xfId="0" applyFont="1" applyBorder="1" applyAlignment="1">
      <alignment horizontal="left" vertical="center" wrapText="1"/>
    </xf>
    <xf numFmtId="0" fontId="15" fillId="0" borderId="11" xfId="0" applyFont="1" applyBorder="1" applyAlignment="1">
      <alignment wrapText="1"/>
    </xf>
    <xf numFmtId="4" fontId="13" fillId="2" borderId="6" xfId="0" applyNumberFormat="1" applyFont="1" applyFill="1" applyBorder="1" applyAlignment="1">
      <alignment horizontal="center"/>
    </xf>
    <xf numFmtId="0" fontId="16" fillId="0" borderId="11" xfId="0" applyFont="1" applyBorder="1" applyAlignment="1"/>
    <xf numFmtId="164" fontId="13" fillId="2" borderId="10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wrapText="1"/>
    </xf>
    <xf numFmtId="0" fontId="13" fillId="2" borderId="6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left" wrapText="1"/>
    </xf>
    <xf numFmtId="0" fontId="13" fillId="2" borderId="11" xfId="0" applyFont="1" applyFill="1" applyBorder="1" applyAlignment="1">
      <alignment horizontal="center"/>
    </xf>
    <xf numFmtId="4" fontId="13" fillId="2" borderId="11" xfId="0" applyNumberFormat="1" applyFont="1" applyFill="1" applyBorder="1" applyAlignment="1">
      <alignment horizontal="center"/>
    </xf>
    <xf numFmtId="0" fontId="2" fillId="2" borderId="0" xfId="0" applyFont="1" applyFill="1" applyAlignment="1"/>
    <xf numFmtId="0" fontId="13" fillId="2" borderId="1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/>
    <xf numFmtId="0" fontId="13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6" xfId="0" applyFont="1" applyBorder="1" applyAlignment="1"/>
    <xf numFmtId="0" fontId="6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" fontId="17" fillId="0" borderId="11" xfId="0" applyNumberFormat="1" applyFont="1" applyBorder="1" applyAlignment="1">
      <alignment horizontal="center"/>
    </xf>
    <xf numFmtId="4" fontId="17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left" wrapText="1"/>
    </xf>
    <xf numFmtId="0" fontId="15" fillId="0" borderId="11" xfId="0" applyFont="1" applyBorder="1" applyAlignment="1">
      <alignment horizontal="center" wrapText="1"/>
    </xf>
    <xf numFmtId="4" fontId="12" fillId="0" borderId="10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4" fontId="11" fillId="0" borderId="12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5" xfId="0" applyFont="1" applyBorder="1" applyAlignment="1"/>
    <xf numFmtId="0" fontId="7" fillId="0" borderId="14" xfId="0" applyFont="1" applyBorder="1" applyAlignment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/>
    <xf numFmtId="0" fontId="7" fillId="0" borderId="9" xfId="0" applyFont="1" applyBorder="1" applyAlignment="1"/>
    <xf numFmtId="0" fontId="2" fillId="0" borderId="15" xfId="0" applyFont="1" applyBorder="1" applyAlignme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6" xfId="0" applyFont="1" applyBorder="1" applyAlignment="1"/>
    <xf numFmtId="164" fontId="11" fillId="0" borderId="10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2" fillId="0" borderId="11" xfId="0" applyFont="1" applyBorder="1" applyAlignment="1"/>
    <xf numFmtId="0" fontId="22" fillId="0" borderId="11" xfId="0" applyFont="1" applyBorder="1" applyAlignment="1">
      <alignment horizontal="center"/>
    </xf>
    <xf numFmtId="0" fontId="16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7" fillId="0" borderId="7" xfId="0" applyFont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7" fillId="0" borderId="9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0" borderId="10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4" xfId="0" applyFont="1" applyBorder="1"/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2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5" fillId="0" borderId="6" xfId="0" applyFont="1" applyBorder="1" applyAlignment="1"/>
    <xf numFmtId="0" fontId="15" fillId="0" borderId="5" xfId="0" applyFont="1" applyBorder="1" applyAlignment="1">
      <alignment horizontal="center"/>
    </xf>
    <xf numFmtId="4" fontId="1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2:AU100"/>
  <sheetViews>
    <sheetView tabSelected="1" workbookViewId="0"/>
  </sheetViews>
  <sheetFormatPr defaultColWidth="12.5703125" defaultRowHeight="15.75" customHeight="1"/>
  <cols>
    <col min="2" max="2" width="22.140625" customWidth="1"/>
    <col min="3" max="3" width="25.28515625" customWidth="1"/>
    <col min="4" max="4" width="14.140625" customWidth="1"/>
    <col min="7" max="7" width="15.28515625" customWidth="1"/>
    <col min="10" max="10" width="27.42578125" customWidth="1"/>
    <col min="11" max="11" width="12.7109375" customWidth="1"/>
  </cols>
  <sheetData>
    <row r="2" spans="1:47" ht="16.5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47" ht="16.5">
      <c r="A3" s="108" t="s">
        <v>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47" ht="18.75">
      <c r="A4" s="1"/>
      <c r="B4" s="1"/>
      <c r="C4" s="2"/>
      <c r="D4" s="2"/>
      <c r="E4" s="2"/>
      <c r="F4" s="2"/>
      <c r="G4" s="2"/>
      <c r="H4" s="2"/>
      <c r="I4" s="2"/>
      <c r="J4" s="109" t="s">
        <v>2</v>
      </c>
      <c r="K4" s="107"/>
      <c r="L4" s="10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18.75">
      <c r="A5" s="1"/>
      <c r="B5" s="1"/>
      <c r="C5" s="2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8">
      <c r="A6" s="110" t="s">
        <v>3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18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ht="18">
      <c r="A8" s="111" t="s">
        <v>4</v>
      </c>
      <c r="B8" s="107"/>
      <c r="C8" s="107"/>
      <c r="D8" s="107"/>
      <c r="E8" s="7"/>
      <c r="F8" s="5"/>
      <c r="G8" s="7"/>
      <c r="H8" s="7"/>
      <c r="I8" s="111" t="s">
        <v>5</v>
      </c>
      <c r="J8" s="107"/>
      <c r="K8" s="107"/>
      <c r="L8" s="10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ht="18">
      <c r="A9" s="111" t="s">
        <v>6</v>
      </c>
      <c r="B9" s="107"/>
      <c r="C9" s="107"/>
      <c r="D9" s="107"/>
      <c r="E9" s="7"/>
      <c r="F9" s="7"/>
      <c r="G9" s="7"/>
      <c r="H9" s="7"/>
      <c r="I9" s="111" t="s">
        <v>7</v>
      </c>
      <c r="J9" s="107"/>
      <c r="K9" s="107"/>
      <c r="L9" s="10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ht="18">
      <c r="A10" s="111" t="s">
        <v>8</v>
      </c>
      <c r="B10" s="107"/>
      <c r="C10" s="107"/>
      <c r="D10" s="107"/>
      <c r="E10" s="7"/>
      <c r="F10" s="7"/>
      <c r="G10" s="7"/>
      <c r="H10" s="7"/>
      <c r="I10" s="111" t="s">
        <v>9</v>
      </c>
      <c r="J10" s="107"/>
      <c r="K10" s="107"/>
      <c r="L10" s="10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ht="18">
      <c r="A11" s="111" t="s">
        <v>10</v>
      </c>
      <c r="B11" s="107"/>
      <c r="C11" s="107"/>
      <c r="D11" s="107"/>
      <c r="E11" s="7"/>
      <c r="F11" s="7"/>
      <c r="G11" s="7"/>
      <c r="H11" s="7"/>
      <c r="I11" s="111" t="s">
        <v>11</v>
      </c>
      <c r="J11" s="107"/>
      <c r="K11" s="107"/>
      <c r="L11" s="10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ht="18">
      <c r="A12" s="4"/>
      <c r="B12" s="5"/>
      <c r="C12" s="5"/>
      <c r="D12" s="5"/>
      <c r="E12" s="7"/>
      <c r="F12" s="5"/>
      <c r="G12" s="7"/>
      <c r="H12" s="7"/>
      <c r="I12" s="111" t="s">
        <v>12</v>
      </c>
      <c r="J12" s="107"/>
      <c r="K12" s="107"/>
      <c r="L12" s="10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ht="18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ht="18">
      <c r="A14" s="125" t="s">
        <v>13</v>
      </c>
      <c r="B14" s="128" t="s">
        <v>14</v>
      </c>
      <c r="C14" s="125" t="s">
        <v>15</v>
      </c>
      <c r="D14" s="129" t="s">
        <v>16</v>
      </c>
      <c r="E14" s="130"/>
      <c r="F14" s="131"/>
      <c r="G14" s="129" t="s">
        <v>17</v>
      </c>
      <c r="H14" s="130"/>
      <c r="I14" s="130"/>
      <c r="J14" s="130"/>
      <c r="K14" s="130"/>
      <c r="L14" s="13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ht="14.25">
      <c r="A15" s="126"/>
      <c r="B15" s="126"/>
      <c r="C15" s="126"/>
      <c r="D15" s="112">
        <v>-19901010</v>
      </c>
      <c r="E15" s="113"/>
      <c r="F15" s="114"/>
      <c r="G15" s="113"/>
      <c r="H15" s="113"/>
      <c r="I15" s="113"/>
      <c r="J15" s="113"/>
      <c r="K15" s="113"/>
      <c r="L15" s="11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ht="14.25">
      <c r="A16" s="126"/>
      <c r="B16" s="126"/>
      <c r="C16" s="126"/>
      <c r="D16" s="115" t="s">
        <v>18</v>
      </c>
      <c r="E16" s="116"/>
      <c r="F16" s="117"/>
      <c r="G16" s="118" t="s">
        <v>19</v>
      </c>
      <c r="H16" s="119" t="s">
        <v>20</v>
      </c>
      <c r="I16" s="118" t="s">
        <v>21</v>
      </c>
      <c r="J16" s="115" t="s">
        <v>22</v>
      </c>
      <c r="K16" s="116"/>
      <c r="L16" s="1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2.75">
      <c r="A17" s="126"/>
      <c r="B17" s="126"/>
      <c r="C17" s="126"/>
      <c r="D17" s="121" t="s">
        <v>23</v>
      </c>
      <c r="E17" s="122" t="s">
        <v>24</v>
      </c>
      <c r="F17" s="124" t="s">
        <v>25</v>
      </c>
      <c r="G17" s="114"/>
      <c r="H17" s="120"/>
      <c r="I17" s="114"/>
      <c r="J17" s="119" t="s">
        <v>26</v>
      </c>
      <c r="K17" s="123" t="s">
        <v>27</v>
      </c>
      <c r="L17" s="124" t="s">
        <v>18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2.75">
      <c r="A18" s="120"/>
      <c r="B18" s="120"/>
      <c r="C18" s="120"/>
      <c r="D18" s="120"/>
      <c r="E18" s="120"/>
      <c r="F18" s="114"/>
      <c r="G18" s="11">
        <v>5020301000</v>
      </c>
      <c r="H18" s="11">
        <v>5021299000</v>
      </c>
      <c r="I18" s="11">
        <v>5021202000</v>
      </c>
      <c r="J18" s="120"/>
      <c r="K18" s="120"/>
      <c r="L18" s="11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spans="1:47" ht="27.75" customHeight="1">
      <c r="A19" s="13">
        <v>46051</v>
      </c>
      <c r="B19" s="14">
        <v>2626003</v>
      </c>
      <c r="C19" s="15" t="s">
        <v>28</v>
      </c>
      <c r="D19" s="16">
        <v>253750</v>
      </c>
      <c r="E19" s="17"/>
      <c r="F19" s="16">
        <v>253750</v>
      </c>
      <c r="G19" s="18"/>
      <c r="H19" s="18"/>
      <c r="I19" s="18"/>
      <c r="J19" s="19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25.5">
      <c r="A20" s="21">
        <v>46059</v>
      </c>
      <c r="B20" s="22" t="s">
        <v>29</v>
      </c>
      <c r="C20" s="23" t="s">
        <v>30</v>
      </c>
      <c r="D20" s="24"/>
      <c r="E20" s="25">
        <v>4000</v>
      </c>
      <c r="F20" s="26">
        <f t="shared" ref="F20:F52" si="0">F19-E20</f>
        <v>249750</v>
      </c>
      <c r="G20" s="26"/>
      <c r="H20" s="26"/>
      <c r="I20" s="25">
        <v>4000</v>
      </c>
      <c r="J20" s="24"/>
      <c r="K20" s="20"/>
      <c r="L20" s="2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25.5">
      <c r="A21" s="21">
        <v>46059</v>
      </c>
      <c r="B21" s="22" t="s">
        <v>31</v>
      </c>
      <c r="C21" s="23" t="s">
        <v>30</v>
      </c>
      <c r="D21" s="24"/>
      <c r="E21" s="25">
        <v>3000</v>
      </c>
      <c r="F21" s="26">
        <f t="shared" si="0"/>
        <v>246750</v>
      </c>
      <c r="G21" s="26"/>
      <c r="H21" s="26"/>
      <c r="I21" s="25">
        <v>3000</v>
      </c>
      <c r="J21" s="24"/>
      <c r="K21" s="20"/>
      <c r="L21" s="2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25.5">
      <c r="A22" s="21">
        <v>46059</v>
      </c>
      <c r="B22" s="22" t="s">
        <v>32</v>
      </c>
      <c r="C22" s="23" t="s">
        <v>33</v>
      </c>
      <c r="D22" s="24"/>
      <c r="E22" s="25">
        <v>4000</v>
      </c>
      <c r="F22" s="26">
        <f t="shared" si="0"/>
        <v>242750</v>
      </c>
      <c r="G22" s="26"/>
      <c r="H22" s="25">
        <v>4000</v>
      </c>
      <c r="I22" s="26"/>
      <c r="J22" s="24"/>
      <c r="K22" s="20"/>
      <c r="L22" s="2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38.25">
      <c r="A23" s="21">
        <v>46059</v>
      </c>
      <c r="B23" s="22" t="s">
        <v>34</v>
      </c>
      <c r="C23" s="23" t="s">
        <v>35</v>
      </c>
      <c r="D23" s="24"/>
      <c r="E23" s="25">
        <v>7000</v>
      </c>
      <c r="F23" s="26">
        <f t="shared" si="0"/>
        <v>235750</v>
      </c>
      <c r="G23" s="26"/>
      <c r="H23" s="25">
        <v>7000</v>
      </c>
      <c r="I23" s="26"/>
      <c r="J23" s="24"/>
      <c r="K23" s="20"/>
      <c r="L23" s="2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25.5">
      <c r="A24" s="21">
        <v>46059</v>
      </c>
      <c r="B24" s="27" t="s">
        <v>36</v>
      </c>
      <c r="C24" s="23" t="s">
        <v>37</v>
      </c>
      <c r="D24" s="24"/>
      <c r="E24" s="25">
        <v>2999</v>
      </c>
      <c r="F24" s="26">
        <f t="shared" si="0"/>
        <v>232751</v>
      </c>
      <c r="G24" s="26"/>
      <c r="H24" s="26"/>
      <c r="I24" s="26"/>
      <c r="J24" s="28" t="s">
        <v>38</v>
      </c>
      <c r="K24" s="29">
        <v>5020503000</v>
      </c>
      <c r="L24" s="25">
        <v>2999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38.25">
      <c r="A25" s="21">
        <v>46059</v>
      </c>
      <c r="B25" s="22" t="s">
        <v>39</v>
      </c>
      <c r="C25" s="23" t="s">
        <v>40</v>
      </c>
      <c r="D25" s="24"/>
      <c r="E25" s="25">
        <v>8871.5499999999993</v>
      </c>
      <c r="F25" s="26">
        <f t="shared" si="0"/>
        <v>223879.45</v>
      </c>
      <c r="G25" s="26"/>
      <c r="H25" s="26"/>
      <c r="I25" s="26"/>
      <c r="J25" s="30" t="s">
        <v>41</v>
      </c>
      <c r="K25" s="31">
        <v>5020402000</v>
      </c>
      <c r="L25" s="25">
        <v>8871.5499999999993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51">
      <c r="A26" s="21">
        <v>46065</v>
      </c>
      <c r="B26" s="22" t="s">
        <v>42</v>
      </c>
      <c r="C26" s="23" t="s">
        <v>43</v>
      </c>
      <c r="D26" s="24"/>
      <c r="E26" s="25">
        <v>1020</v>
      </c>
      <c r="F26" s="26">
        <f t="shared" si="0"/>
        <v>222859.45</v>
      </c>
      <c r="G26" s="26"/>
      <c r="H26" s="26"/>
      <c r="I26" s="26"/>
      <c r="J26" s="28" t="s">
        <v>44</v>
      </c>
      <c r="K26" s="29">
        <v>5020101000</v>
      </c>
      <c r="L26" s="32">
        <v>1020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25.5">
      <c r="A27" s="21">
        <v>46067</v>
      </c>
      <c r="B27" s="27" t="s">
        <v>45</v>
      </c>
      <c r="C27" s="33" t="s">
        <v>46</v>
      </c>
      <c r="D27" s="24"/>
      <c r="E27" s="25">
        <v>42020</v>
      </c>
      <c r="F27" s="26">
        <f t="shared" si="0"/>
        <v>180839.45</v>
      </c>
      <c r="G27" s="25">
        <v>42020</v>
      </c>
      <c r="H27" s="26"/>
      <c r="I27" s="26"/>
      <c r="J27" s="24"/>
      <c r="K27" s="20"/>
      <c r="L27" s="2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25.5">
      <c r="A28" s="21">
        <v>46067</v>
      </c>
      <c r="B28" s="27" t="s">
        <v>47</v>
      </c>
      <c r="C28" s="33" t="s">
        <v>46</v>
      </c>
      <c r="D28" s="24"/>
      <c r="E28" s="25">
        <v>8617</v>
      </c>
      <c r="F28" s="26">
        <f t="shared" si="0"/>
        <v>172222.45</v>
      </c>
      <c r="G28" s="34">
        <v>8617</v>
      </c>
      <c r="H28" s="35"/>
      <c r="I28" s="35"/>
      <c r="J28" s="28"/>
      <c r="K28" s="29"/>
      <c r="L28" s="2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25.5">
      <c r="A29" s="21">
        <v>46067</v>
      </c>
      <c r="B29" s="27" t="s">
        <v>48</v>
      </c>
      <c r="C29" s="33" t="s">
        <v>49</v>
      </c>
      <c r="D29" s="24"/>
      <c r="E29" s="25">
        <v>52000</v>
      </c>
      <c r="F29" s="26">
        <f t="shared" si="0"/>
        <v>120222.45000000001</v>
      </c>
      <c r="G29" s="26"/>
      <c r="H29" s="26"/>
      <c r="I29" s="26"/>
      <c r="J29" s="28" t="s">
        <v>50</v>
      </c>
      <c r="K29" s="29">
        <v>5020399000</v>
      </c>
      <c r="L29" s="25">
        <v>52000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25.5">
      <c r="A30" s="21">
        <v>46072</v>
      </c>
      <c r="B30" s="27" t="s">
        <v>51</v>
      </c>
      <c r="C30" s="23" t="s">
        <v>52</v>
      </c>
      <c r="D30" s="24"/>
      <c r="E30" s="25">
        <v>2999</v>
      </c>
      <c r="F30" s="26">
        <f t="shared" si="0"/>
        <v>117223.45000000001</v>
      </c>
      <c r="G30" s="26"/>
      <c r="H30" s="26"/>
      <c r="I30" s="26"/>
      <c r="J30" s="28" t="s">
        <v>38</v>
      </c>
      <c r="K30" s="29">
        <v>5020503000</v>
      </c>
      <c r="L30" s="25">
        <v>2999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38.25">
      <c r="A31" s="21">
        <v>46076</v>
      </c>
      <c r="B31" s="27" t="s">
        <v>53</v>
      </c>
      <c r="C31" s="33" t="s">
        <v>54</v>
      </c>
      <c r="D31" s="24"/>
      <c r="E31" s="25">
        <v>10771.48</v>
      </c>
      <c r="F31" s="26">
        <f t="shared" si="0"/>
        <v>106451.97000000002</v>
      </c>
      <c r="G31" s="26"/>
      <c r="H31" s="26"/>
      <c r="I31" s="26"/>
      <c r="J31" s="36" t="s">
        <v>41</v>
      </c>
      <c r="K31" s="31">
        <v>5020402000</v>
      </c>
      <c r="L31" s="25">
        <v>10771.48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25.5">
      <c r="A32" s="21">
        <v>46080</v>
      </c>
      <c r="B32" s="27" t="s">
        <v>55</v>
      </c>
      <c r="C32" s="23" t="s">
        <v>30</v>
      </c>
      <c r="D32" s="24"/>
      <c r="E32" s="25">
        <v>4000</v>
      </c>
      <c r="F32" s="26">
        <f t="shared" si="0"/>
        <v>102451.97000000002</v>
      </c>
      <c r="G32" s="26"/>
      <c r="H32" s="26"/>
      <c r="I32" s="25">
        <v>4000</v>
      </c>
      <c r="J32" s="24"/>
      <c r="K32" s="20"/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25.5">
      <c r="A33" s="21">
        <v>46080</v>
      </c>
      <c r="B33" s="27" t="s">
        <v>56</v>
      </c>
      <c r="C33" s="23" t="s">
        <v>30</v>
      </c>
      <c r="D33" s="20"/>
      <c r="E33" s="25">
        <v>3000</v>
      </c>
      <c r="F33" s="26">
        <f t="shared" si="0"/>
        <v>99451.970000000016</v>
      </c>
      <c r="G33" s="26"/>
      <c r="H33" s="26"/>
      <c r="I33" s="25">
        <v>3000</v>
      </c>
      <c r="J33" s="24"/>
      <c r="K33" s="20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25.5">
      <c r="A34" s="21">
        <v>46080</v>
      </c>
      <c r="B34" s="27" t="s">
        <v>57</v>
      </c>
      <c r="C34" s="23" t="s">
        <v>33</v>
      </c>
      <c r="D34" s="20"/>
      <c r="E34" s="25">
        <v>4000</v>
      </c>
      <c r="F34" s="26">
        <f t="shared" si="0"/>
        <v>95451.970000000016</v>
      </c>
      <c r="G34" s="26"/>
      <c r="H34" s="25">
        <v>4000</v>
      </c>
      <c r="I34" s="26"/>
      <c r="J34" s="24"/>
      <c r="K34" s="20"/>
      <c r="L34" s="20"/>
      <c r="M34" s="3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38.25">
      <c r="A35" s="21">
        <v>46080</v>
      </c>
      <c r="B35" s="27" t="s">
        <v>58</v>
      </c>
      <c r="C35" s="23" t="s">
        <v>59</v>
      </c>
      <c r="D35" s="20"/>
      <c r="E35" s="25">
        <v>7000</v>
      </c>
      <c r="F35" s="26">
        <f t="shared" si="0"/>
        <v>88451.970000000016</v>
      </c>
      <c r="G35" s="26"/>
      <c r="H35" s="25">
        <v>7000</v>
      </c>
      <c r="I35" s="26"/>
      <c r="J35" s="24"/>
      <c r="K35" s="20"/>
      <c r="L35" s="2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2.75">
      <c r="A36" s="38">
        <v>46083</v>
      </c>
      <c r="B36" s="27" t="s">
        <v>60</v>
      </c>
      <c r="C36" s="39" t="s">
        <v>61</v>
      </c>
      <c r="D36" s="20"/>
      <c r="E36" s="40">
        <v>7655</v>
      </c>
      <c r="F36" s="41">
        <f t="shared" si="0"/>
        <v>80796.970000000016</v>
      </c>
      <c r="G36" s="25">
        <v>5755</v>
      </c>
      <c r="H36" s="42"/>
      <c r="I36" s="26"/>
      <c r="J36" s="28" t="s">
        <v>62</v>
      </c>
      <c r="K36" s="43">
        <v>5020502001</v>
      </c>
      <c r="L36" s="44">
        <v>1200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2.75">
      <c r="A37" s="21"/>
      <c r="B37" s="27"/>
      <c r="C37" s="23"/>
      <c r="D37" s="20"/>
      <c r="E37" s="25"/>
      <c r="F37" s="26">
        <f t="shared" si="0"/>
        <v>80796.970000000016</v>
      </c>
      <c r="G37" s="26"/>
      <c r="H37" s="26"/>
      <c r="I37" s="26"/>
      <c r="J37" s="28" t="s">
        <v>63</v>
      </c>
      <c r="K37" s="29">
        <v>5029902000</v>
      </c>
      <c r="L37" s="32">
        <v>700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51">
      <c r="A38" s="38">
        <v>46085</v>
      </c>
      <c r="B38" s="27" t="s">
        <v>64</v>
      </c>
      <c r="C38" s="23" t="s">
        <v>65</v>
      </c>
      <c r="D38" s="20"/>
      <c r="E38" s="25">
        <v>1020</v>
      </c>
      <c r="F38" s="26">
        <f t="shared" si="0"/>
        <v>79776.970000000016</v>
      </c>
      <c r="G38" s="26"/>
      <c r="H38" s="26"/>
      <c r="I38" s="26"/>
      <c r="J38" s="28" t="s">
        <v>44</v>
      </c>
      <c r="K38" s="29">
        <v>5020101000</v>
      </c>
      <c r="L38" s="32">
        <v>1020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51">
      <c r="A39" s="38">
        <v>46094</v>
      </c>
      <c r="B39" s="27" t="s">
        <v>66</v>
      </c>
      <c r="C39" s="23" t="s">
        <v>67</v>
      </c>
      <c r="D39" s="20"/>
      <c r="E39" s="25">
        <v>2990</v>
      </c>
      <c r="F39" s="26">
        <f t="shared" si="0"/>
        <v>76786.970000000016</v>
      </c>
      <c r="G39" s="26"/>
      <c r="H39" s="26"/>
      <c r="I39" s="26"/>
      <c r="J39" s="45" t="s">
        <v>68</v>
      </c>
      <c r="K39" s="29">
        <v>5020201000</v>
      </c>
      <c r="L39" s="32">
        <v>2990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25.5">
      <c r="A40" s="38">
        <v>46098</v>
      </c>
      <c r="B40" s="27" t="s">
        <v>69</v>
      </c>
      <c r="C40" s="23" t="s">
        <v>70</v>
      </c>
      <c r="D40" s="20"/>
      <c r="E40" s="25">
        <v>5000</v>
      </c>
      <c r="F40" s="26">
        <f t="shared" si="0"/>
        <v>71786.970000000016</v>
      </c>
      <c r="G40" s="26"/>
      <c r="H40" s="26"/>
      <c r="I40" s="26"/>
      <c r="J40" s="46" t="s">
        <v>50</v>
      </c>
      <c r="K40" s="29">
        <v>5020399000</v>
      </c>
      <c r="L40" s="25">
        <v>5000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25.5">
      <c r="A41" s="38">
        <v>46099</v>
      </c>
      <c r="B41" s="27" t="s">
        <v>71</v>
      </c>
      <c r="C41" s="47" t="s">
        <v>72</v>
      </c>
      <c r="D41" s="20"/>
      <c r="E41" s="25">
        <v>3850</v>
      </c>
      <c r="F41" s="26">
        <f t="shared" si="0"/>
        <v>67936.970000000016</v>
      </c>
      <c r="G41" s="26"/>
      <c r="H41" s="26"/>
      <c r="I41" s="26"/>
      <c r="J41" s="48" t="s">
        <v>73</v>
      </c>
      <c r="K41" s="29">
        <v>5021305002</v>
      </c>
      <c r="L41" s="25">
        <v>3850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25.5">
      <c r="A42" s="38">
        <v>46099</v>
      </c>
      <c r="B42" s="27" t="s">
        <v>74</v>
      </c>
      <c r="C42" s="23" t="s">
        <v>75</v>
      </c>
      <c r="D42" s="20"/>
      <c r="E42" s="25">
        <v>5503</v>
      </c>
      <c r="F42" s="26">
        <f t="shared" si="0"/>
        <v>62433.970000000016</v>
      </c>
      <c r="G42" s="26"/>
      <c r="H42" s="26"/>
      <c r="I42" s="26"/>
      <c r="J42" s="28" t="s">
        <v>38</v>
      </c>
      <c r="K42" s="29">
        <v>5020503000</v>
      </c>
      <c r="L42" s="25">
        <v>5503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38.25">
      <c r="A43" s="38">
        <v>46105</v>
      </c>
      <c r="B43" s="27" t="s">
        <v>76</v>
      </c>
      <c r="C43" s="33" t="s">
        <v>77</v>
      </c>
      <c r="D43" s="20"/>
      <c r="E43" s="25">
        <v>12518.8</v>
      </c>
      <c r="F43" s="26">
        <f t="shared" si="0"/>
        <v>49915.170000000013</v>
      </c>
      <c r="G43" s="26"/>
      <c r="H43" s="26"/>
      <c r="I43" s="26"/>
      <c r="J43" s="36" t="s">
        <v>41</v>
      </c>
      <c r="K43" s="31">
        <v>5020402000</v>
      </c>
      <c r="L43" s="25">
        <v>12518.8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51">
      <c r="A44" s="38">
        <v>46108</v>
      </c>
      <c r="B44" s="27" t="s">
        <v>78</v>
      </c>
      <c r="C44" s="23" t="s">
        <v>79</v>
      </c>
      <c r="D44" s="20"/>
      <c r="E44" s="25">
        <v>1020</v>
      </c>
      <c r="F44" s="26">
        <f t="shared" si="0"/>
        <v>48895.170000000013</v>
      </c>
      <c r="G44" s="26"/>
      <c r="H44" s="26"/>
      <c r="I44" s="26"/>
      <c r="J44" s="28" t="s">
        <v>44</v>
      </c>
      <c r="K44" s="29">
        <v>5020101000</v>
      </c>
      <c r="L44" s="25">
        <v>1020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25.5">
      <c r="A45" s="38">
        <v>46111</v>
      </c>
      <c r="B45" s="27" t="s">
        <v>80</v>
      </c>
      <c r="C45" s="33" t="s">
        <v>81</v>
      </c>
      <c r="D45" s="20"/>
      <c r="E45" s="25">
        <v>15000</v>
      </c>
      <c r="F45" s="26">
        <f t="shared" si="0"/>
        <v>33895.170000000013</v>
      </c>
      <c r="G45" s="26"/>
      <c r="H45" s="26"/>
      <c r="I45" s="26"/>
      <c r="J45" s="28" t="s">
        <v>50</v>
      </c>
      <c r="K45" s="29">
        <v>5020399000</v>
      </c>
      <c r="L45" s="25">
        <v>15000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25.5">
      <c r="A46" s="38">
        <v>46112</v>
      </c>
      <c r="B46" s="27" t="s">
        <v>82</v>
      </c>
      <c r="C46" s="23" t="s">
        <v>83</v>
      </c>
      <c r="D46" s="20"/>
      <c r="E46" s="25">
        <v>1720</v>
      </c>
      <c r="F46" s="26">
        <f t="shared" si="0"/>
        <v>32175.170000000013</v>
      </c>
      <c r="G46" s="49"/>
      <c r="H46" s="26"/>
      <c r="I46" s="25"/>
      <c r="J46" s="50" t="s">
        <v>63</v>
      </c>
      <c r="K46" s="29">
        <v>5029902000</v>
      </c>
      <c r="L46" s="32">
        <v>1720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25.5">
      <c r="A47" s="51">
        <v>46112</v>
      </c>
      <c r="B47" s="52" t="s">
        <v>84</v>
      </c>
      <c r="C47" s="53" t="s">
        <v>85</v>
      </c>
      <c r="D47" s="54"/>
      <c r="E47" s="49">
        <v>8000</v>
      </c>
      <c r="F47" s="35">
        <f t="shared" si="0"/>
        <v>24175.170000000013</v>
      </c>
      <c r="G47" s="35"/>
      <c r="H47" s="49">
        <v>8000</v>
      </c>
      <c r="I47" s="49"/>
      <c r="J47" s="55"/>
      <c r="K47" s="56"/>
      <c r="L47" s="5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</row>
    <row r="48" spans="1:47" ht="25.5">
      <c r="A48" s="38">
        <v>46112</v>
      </c>
      <c r="B48" s="27" t="s">
        <v>86</v>
      </c>
      <c r="C48" s="23" t="s">
        <v>87</v>
      </c>
      <c r="D48" s="20"/>
      <c r="E48" s="25">
        <v>4000</v>
      </c>
      <c r="F48" s="26">
        <f t="shared" si="0"/>
        <v>20175.170000000013</v>
      </c>
      <c r="G48" s="26"/>
      <c r="H48" s="26"/>
      <c r="I48" s="25">
        <v>4000</v>
      </c>
      <c r="J48" s="28"/>
      <c r="K48" s="29"/>
      <c r="L48" s="3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25.5">
      <c r="A49" s="21">
        <v>46112</v>
      </c>
      <c r="B49" s="27" t="s">
        <v>88</v>
      </c>
      <c r="C49" s="23" t="s">
        <v>87</v>
      </c>
      <c r="D49" s="20"/>
      <c r="E49" s="32">
        <v>3000</v>
      </c>
      <c r="F49" s="26">
        <f t="shared" si="0"/>
        <v>17175.170000000013</v>
      </c>
      <c r="G49" s="26"/>
      <c r="H49" s="26"/>
      <c r="I49" s="25">
        <v>3000</v>
      </c>
      <c r="J49" s="28"/>
      <c r="K49" s="29"/>
      <c r="L49" s="3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25.5">
      <c r="A50" s="21">
        <v>46112</v>
      </c>
      <c r="B50" s="27" t="s">
        <v>89</v>
      </c>
      <c r="C50" s="23" t="s">
        <v>90</v>
      </c>
      <c r="D50" s="31" t="s">
        <v>91</v>
      </c>
      <c r="E50" s="25">
        <v>4000</v>
      </c>
      <c r="F50" s="26">
        <f t="shared" si="0"/>
        <v>13175.170000000013</v>
      </c>
      <c r="G50" s="26"/>
      <c r="H50" s="25">
        <v>4000</v>
      </c>
      <c r="I50" s="26"/>
      <c r="J50" s="28"/>
      <c r="K50" s="29"/>
      <c r="L50" s="3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38.25">
      <c r="A51" s="21">
        <v>46112</v>
      </c>
      <c r="B51" s="27" t="s">
        <v>92</v>
      </c>
      <c r="C51" s="23" t="s">
        <v>93</v>
      </c>
      <c r="D51" s="20"/>
      <c r="E51" s="25">
        <v>7000</v>
      </c>
      <c r="F51" s="26">
        <f t="shared" si="0"/>
        <v>6175.1700000000128</v>
      </c>
      <c r="G51" s="42"/>
      <c r="H51" s="25">
        <v>7000</v>
      </c>
      <c r="I51" s="42"/>
      <c r="J51" s="28"/>
      <c r="K51" s="29"/>
      <c r="L51" s="3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2.75">
      <c r="A52" s="21">
        <v>46113</v>
      </c>
      <c r="B52" s="27" t="s">
        <v>94</v>
      </c>
      <c r="C52" s="39" t="s">
        <v>61</v>
      </c>
      <c r="D52" s="59"/>
      <c r="E52" s="32">
        <v>2773</v>
      </c>
      <c r="F52" s="26">
        <f t="shared" si="0"/>
        <v>3402.1700000000128</v>
      </c>
      <c r="G52" s="32">
        <v>800</v>
      </c>
      <c r="H52" s="42"/>
      <c r="I52" s="42"/>
      <c r="J52" s="28" t="s">
        <v>44</v>
      </c>
      <c r="K52" s="29">
        <v>5020101000</v>
      </c>
      <c r="L52" s="32">
        <v>700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25.5">
      <c r="A53" s="60"/>
      <c r="B53" s="61"/>
      <c r="C53" s="62"/>
      <c r="D53" s="63"/>
      <c r="E53" s="32"/>
      <c r="F53" s="20"/>
      <c r="G53" s="32"/>
      <c r="H53" s="42"/>
      <c r="I53" s="42"/>
      <c r="J53" s="28" t="s">
        <v>50</v>
      </c>
      <c r="K53" s="29">
        <v>5020399000</v>
      </c>
      <c r="L53" s="32">
        <v>498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2.75">
      <c r="A54" s="60"/>
      <c r="B54" s="61"/>
      <c r="C54" s="62"/>
      <c r="D54" s="63"/>
      <c r="E54" s="32"/>
      <c r="F54" s="20"/>
      <c r="G54" s="32"/>
      <c r="H54" s="42"/>
      <c r="I54" s="42"/>
      <c r="J54" s="45" t="s">
        <v>95</v>
      </c>
      <c r="K54" s="64">
        <v>5020501000</v>
      </c>
      <c r="L54" s="32">
        <v>175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2.75">
      <c r="A55" s="60"/>
      <c r="B55" s="61"/>
      <c r="C55" s="62"/>
      <c r="D55" s="63"/>
      <c r="E55" s="32"/>
      <c r="F55" s="20"/>
      <c r="G55" s="32"/>
      <c r="H55" s="42"/>
      <c r="I55" s="42"/>
      <c r="J55" s="45" t="s">
        <v>63</v>
      </c>
      <c r="K55" s="64">
        <v>5029902000</v>
      </c>
      <c r="L55" s="32">
        <v>600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25.5">
      <c r="A56" s="51">
        <v>46113</v>
      </c>
      <c r="B56" s="65" t="s">
        <v>96</v>
      </c>
      <c r="C56" s="53" t="s">
        <v>97</v>
      </c>
      <c r="D56" s="59"/>
      <c r="E56" s="32">
        <v>3402.17</v>
      </c>
      <c r="F56" s="26">
        <f>F52-E56</f>
        <v>1.2732925824820995E-11</v>
      </c>
      <c r="G56" s="32">
        <v>3402.17</v>
      </c>
      <c r="H56" s="42"/>
      <c r="I56" s="42"/>
      <c r="J56" s="28"/>
      <c r="K56" s="29"/>
      <c r="L56" s="3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25.5">
      <c r="A57" s="51"/>
      <c r="B57" s="65"/>
      <c r="C57" s="53"/>
      <c r="D57" s="59"/>
      <c r="F57" s="26"/>
      <c r="G57" s="32"/>
      <c r="H57" s="42"/>
      <c r="I57" s="42"/>
      <c r="J57" s="28"/>
      <c r="K57" s="29"/>
      <c r="L57" s="3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25.5">
      <c r="A58" s="51"/>
      <c r="B58" s="65"/>
      <c r="C58" s="53"/>
      <c r="D58" s="59"/>
      <c r="F58" s="26"/>
      <c r="G58" s="32"/>
      <c r="H58" s="42"/>
      <c r="I58" s="42"/>
      <c r="J58" s="28"/>
      <c r="K58" s="29"/>
      <c r="L58" s="3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25.5">
      <c r="A59" s="51"/>
      <c r="B59" s="65"/>
      <c r="C59" s="53"/>
      <c r="D59" s="59"/>
      <c r="F59" s="26"/>
      <c r="G59" s="32"/>
      <c r="H59" s="42"/>
      <c r="I59" s="42"/>
      <c r="J59" s="28"/>
      <c r="K59" s="29"/>
      <c r="L59" s="3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25.5">
      <c r="A60" s="51"/>
      <c r="B60" s="65"/>
      <c r="C60" s="53"/>
      <c r="D60" s="59"/>
      <c r="F60" s="26"/>
      <c r="G60" s="32"/>
      <c r="H60" s="42"/>
      <c r="I60" s="42"/>
      <c r="J60" s="28"/>
      <c r="K60" s="29"/>
      <c r="L60" s="3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25.5">
      <c r="A61" s="51"/>
      <c r="B61" s="65"/>
      <c r="C61" s="53"/>
      <c r="D61" s="59"/>
      <c r="F61" s="26"/>
      <c r="G61" s="32"/>
      <c r="H61" s="42"/>
      <c r="I61" s="42"/>
      <c r="J61" s="28"/>
      <c r="K61" s="29"/>
      <c r="L61" s="3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25.5">
      <c r="A62" s="51"/>
      <c r="B62" s="65"/>
      <c r="C62" s="53"/>
      <c r="D62" s="59"/>
      <c r="F62" s="26"/>
      <c r="G62" s="32"/>
      <c r="H62" s="42"/>
      <c r="I62" s="42"/>
      <c r="J62" s="28"/>
      <c r="K62" s="29"/>
      <c r="L62" s="3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25.5">
      <c r="A63" s="51"/>
      <c r="B63" s="65"/>
      <c r="C63" s="53"/>
      <c r="D63" s="59"/>
      <c r="F63" s="26"/>
      <c r="G63" s="32"/>
      <c r="H63" s="42"/>
      <c r="I63" s="42"/>
      <c r="J63" s="28"/>
      <c r="K63" s="29"/>
      <c r="L63" s="3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25.5">
      <c r="A64" s="51"/>
      <c r="B64" s="65"/>
      <c r="C64" s="53"/>
      <c r="D64" s="59"/>
      <c r="F64" s="26"/>
      <c r="G64" s="32"/>
      <c r="H64" s="42"/>
      <c r="I64" s="42"/>
      <c r="J64" s="28"/>
      <c r="K64" s="29"/>
      <c r="L64" s="3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25.5">
      <c r="A65" s="51"/>
      <c r="B65" s="65"/>
      <c r="C65" s="53"/>
      <c r="D65" s="59"/>
      <c r="F65" s="26"/>
      <c r="G65" s="32"/>
      <c r="H65" s="42"/>
      <c r="I65" s="42"/>
      <c r="J65" s="28"/>
      <c r="K65" s="29"/>
      <c r="L65" s="3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25.5">
      <c r="A66" s="51"/>
      <c r="B66" s="65"/>
      <c r="C66" s="53"/>
      <c r="D66" s="59"/>
      <c r="F66" s="26"/>
      <c r="G66" s="32"/>
      <c r="H66" s="42"/>
      <c r="I66" s="42"/>
      <c r="J66" s="28"/>
      <c r="K66" s="29"/>
      <c r="L66" s="3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25.5">
      <c r="A67" s="51"/>
      <c r="B67" s="65"/>
      <c r="C67" s="53"/>
      <c r="D67" s="59"/>
      <c r="F67" s="26"/>
      <c r="G67" s="32"/>
      <c r="H67" s="42"/>
      <c r="I67" s="42"/>
      <c r="J67" s="28"/>
      <c r="K67" s="29"/>
      <c r="L67" s="3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25.5">
      <c r="A68" s="51"/>
      <c r="B68" s="65"/>
      <c r="C68" s="53"/>
      <c r="D68" s="59"/>
      <c r="F68" s="26"/>
      <c r="G68" s="32"/>
      <c r="H68" s="42"/>
      <c r="I68" s="42"/>
      <c r="J68" s="28"/>
      <c r="K68" s="29"/>
      <c r="L68" s="3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5">
      <c r="A69" s="66"/>
      <c r="B69" s="67"/>
      <c r="C69" s="68" t="s">
        <v>98</v>
      </c>
      <c r="D69" s="69"/>
      <c r="E69" s="69"/>
      <c r="F69" s="69"/>
      <c r="G69" s="70">
        <f t="shared" ref="G57:I57" si="1">SUM(G20:G68)</f>
        <v>60594.17</v>
      </c>
      <c r="H69" s="70">
        <f t="shared" si="1"/>
        <v>41000</v>
      </c>
      <c r="I81" s="70">
        <f t="shared" si="1"/>
        <v>21000</v>
      </c>
      <c r="J81" s="71"/>
      <c r="K81" s="70"/>
      <c r="L81" s="70">
        <f>SUM(L19:L68)</f>
        <v>131155.83000000002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2.75">
      <c r="A70" s="66"/>
      <c r="B70" s="67"/>
      <c r="C70" s="67"/>
      <c r="D70" s="72"/>
      <c r="E70" s="72"/>
      <c r="F70" s="72"/>
      <c r="G70" s="72"/>
      <c r="H70" s="72"/>
      <c r="I70" s="72"/>
      <c r="J70" s="72"/>
      <c r="K70" s="72"/>
      <c r="L70" s="7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2.75">
      <c r="A71" s="66"/>
      <c r="B71" s="67"/>
      <c r="C71" s="67"/>
      <c r="D71" s="72"/>
      <c r="E71" s="72"/>
      <c r="F71" s="72"/>
      <c r="G71" s="72"/>
      <c r="H71" s="72"/>
      <c r="I71" s="72"/>
      <c r="J71" s="74" t="s">
        <v>99</v>
      </c>
      <c r="K71" s="75"/>
      <c r="L71" s="7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2.75">
      <c r="A72" s="66"/>
      <c r="B72" s="67"/>
      <c r="C72" s="67"/>
      <c r="D72" s="72"/>
      <c r="E72" s="72"/>
      <c r="F72" s="72"/>
      <c r="G72" s="72"/>
      <c r="H72" s="72"/>
      <c r="I72" s="72"/>
      <c r="J72" s="77" t="s">
        <v>26</v>
      </c>
      <c r="K72" s="78" t="s">
        <v>27</v>
      </c>
      <c r="L72" s="77" t="s">
        <v>18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2.75">
      <c r="A73" s="66"/>
      <c r="B73" s="67"/>
      <c r="C73" s="67"/>
      <c r="D73" s="72"/>
      <c r="E73" s="72"/>
      <c r="F73" s="72"/>
      <c r="G73" s="72"/>
      <c r="H73" s="72"/>
      <c r="I73" s="72"/>
      <c r="J73" s="28" t="s">
        <v>38</v>
      </c>
      <c r="K73" s="64">
        <v>5020503000</v>
      </c>
      <c r="L73" s="32">
        <f>SUMIF(J19:J68, "Internet Subcription Expenses", L19:L68)</f>
        <v>11501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2.75">
      <c r="A74" s="66"/>
      <c r="B74" s="67"/>
      <c r="C74" s="67"/>
      <c r="D74" s="72"/>
      <c r="E74" s="72"/>
      <c r="F74" s="72"/>
      <c r="G74" s="72"/>
      <c r="H74" s="72"/>
      <c r="I74" s="72"/>
      <c r="J74" s="79" t="s">
        <v>41</v>
      </c>
      <c r="K74" s="80">
        <v>5020402000</v>
      </c>
      <c r="L74" s="32">
        <f>SUMIF(J19:J68, "Electricity Expenses", L19:L68)</f>
        <v>32161.829999999998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2.75">
      <c r="A75" s="66"/>
      <c r="B75" s="67"/>
      <c r="C75" s="67"/>
      <c r="D75" s="72"/>
      <c r="E75" s="72"/>
      <c r="F75" s="72"/>
      <c r="G75" s="72"/>
      <c r="H75" s="72"/>
      <c r="I75" s="72"/>
      <c r="J75" s="81" t="s">
        <v>44</v>
      </c>
      <c r="K75" s="64">
        <v>5020101000</v>
      </c>
      <c r="L75" s="32">
        <f>SUMIF(J19:J68, "Travelling Expenses-Local", L19:L68)</f>
        <v>3760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2.75">
      <c r="A76" s="66"/>
      <c r="B76" s="67"/>
      <c r="C76" s="67"/>
      <c r="D76" s="72"/>
      <c r="E76" s="72"/>
      <c r="F76" s="72"/>
      <c r="G76" s="72"/>
      <c r="H76" s="72"/>
      <c r="I76" s="72"/>
      <c r="J76" s="81" t="s">
        <v>62</v>
      </c>
      <c r="K76" s="82">
        <v>5020502001</v>
      </c>
      <c r="L76" s="32">
        <f>SUMIF(J19:J68, "Accountable Forms", L19:L68)</f>
        <v>1200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25.5">
      <c r="A77" s="66"/>
      <c r="B77" s="67"/>
      <c r="C77" s="67"/>
      <c r="D77" s="72"/>
      <c r="E77" s="72"/>
      <c r="F77" s="72"/>
      <c r="G77" s="72"/>
      <c r="H77" s="72"/>
      <c r="I77" s="72"/>
      <c r="J77" s="81" t="s">
        <v>63</v>
      </c>
      <c r="K77" s="64">
        <v>5029902000</v>
      </c>
      <c r="L77" s="32">
        <f>SUMIF(J19:J68, "Printing and Publication Expenses", L19:L68)</f>
        <v>3020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25.5">
      <c r="A78" s="66"/>
      <c r="B78" s="67"/>
      <c r="C78" s="67"/>
      <c r="D78" s="72"/>
      <c r="E78" s="72"/>
      <c r="F78" s="72"/>
      <c r="G78" s="72"/>
      <c r="H78" s="72"/>
      <c r="I78" s="72"/>
      <c r="J78" s="48" t="s">
        <v>50</v>
      </c>
      <c r="K78" s="64">
        <v>5020399000</v>
      </c>
      <c r="L78" s="32">
        <f>SUMIF(J19:J68, "Other Supplies and Materials Expenses", L19:L68)</f>
        <v>72498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25.5">
      <c r="A79" s="66"/>
      <c r="B79" s="67"/>
      <c r="C79" s="67"/>
      <c r="D79" s="72"/>
      <c r="E79" s="72"/>
      <c r="F79" s="72"/>
      <c r="G79" s="72"/>
      <c r="H79" s="72"/>
      <c r="I79" s="72"/>
      <c r="J79" s="48" t="s">
        <v>73</v>
      </c>
      <c r="K79" s="64">
        <v>5021305002</v>
      </c>
      <c r="L79" s="32">
        <f>SUMIF(J19:J68, "Repairs and Maintenance-Office Equipment", L19:L68)</f>
        <v>3850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2.75">
      <c r="A80" s="66"/>
      <c r="B80" s="67"/>
      <c r="C80" s="67"/>
      <c r="D80" s="72"/>
      <c r="E80" s="72"/>
      <c r="F80" s="72"/>
      <c r="G80" s="72"/>
      <c r="H80" s="72"/>
      <c r="I80" s="72"/>
      <c r="J80" s="45" t="s">
        <v>68</v>
      </c>
      <c r="K80" s="64">
        <v>5020201000</v>
      </c>
      <c r="L80" s="32">
        <f>SUMIF(J19:J68, "Training Expenses", L19:L68)</f>
        <v>2990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2.75">
      <c r="A81" s="66"/>
      <c r="B81" s="67"/>
      <c r="C81" s="67"/>
      <c r="D81" s="72"/>
      <c r="E81" s="72"/>
      <c r="F81" s="72"/>
      <c r="G81" s="72"/>
      <c r="H81" s="72"/>
      <c r="I81" s="72"/>
      <c r="J81" s="45" t="s">
        <v>95</v>
      </c>
      <c r="K81" s="64">
        <v>5020501000</v>
      </c>
      <c r="L81" s="83">
        <v>175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2.75">
      <c r="A82" s="66"/>
      <c r="B82" s="67"/>
      <c r="C82" s="67"/>
      <c r="D82" s="72"/>
      <c r="E82" s="72"/>
      <c r="F82" s="72"/>
      <c r="G82" s="72"/>
      <c r="H82" s="72"/>
      <c r="I82" s="72"/>
      <c r="J82" s="137"/>
      <c r="K82" s="138"/>
      <c r="L82" s="13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2.75">
      <c r="A83" s="66"/>
      <c r="B83" s="67"/>
      <c r="C83" s="67"/>
      <c r="D83" s="72"/>
      <c r="E83" s="72"/>
      <c r="F83" s="72"/>
      <c r="G83" s="72"/>
      <c r="H83" s="72"/>
      <c r="I83" s="72"/>
      <c r="J83" s="137"/>
      <c r="K83" s="138"/>
      <c r="L83" s="13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2.75">
      <c r="A84" s="66"/>
      <c r="B84" s="67"/>
      <c r="C84" s="67"/>
      <c r="D84" s="72"/>
      <c r="E84" s="72"/>
      <c r="F84" s="72"/>
      <c r="G84" s="72"/>
      <c r="H84" s="72"/>
      <c r="I84" s="72"/>
      <c r="J84" s="137"/>
      <c r="K84" s="138"/>
      <c r="L84" s="13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2.75">
      <c r="A85" s="66"/>
      <c r="B85" s="67"/>
      <c r="C85" s="67"/>
      <c r="D85" s="72"/>
      <c r="E85" s="72"/>
      <c r="F85" s="72"/>
      <c r="G85" s="72"/>
      <c r="H85" s="72"/>
      <c r="I85" s="72"/>
      <c r="J85" s="137"/>
      <c r="K85" s="138"/>
      <c r="L85" s="13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2.75">
      <c r="A86" s="66"/>
      <c r="B86" s="67"/>
      <c r="C86" s="67"/>
      <c r="D86" s="72"/>
      <c r="E86" s="72"/>
      <c r="F86" s="72"/>
      <c r="G86" s="72"/>
      <c r="H86" s="72"/>
      <c r="I86" s="72"/>
      <c r="J86" s="137"/>
      <c r="K86" s="138"/>
      <c r="L86" s="13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2.75">
      <c r="A87" s="66"/>
      <c r="B87" s="67"/>
      <c r="C87" s="67"/>
      <c r="D87" s="84"/>
      <c r="E87" s="72"/>
      <c r="F87" s="72"/>
      <c r="G87" s="72"/>
      <c r="H87" s="72"/>
      <c r="I87" s="72"/>
      <c r="J87" s="85" t="s">
        <v>100</v>
      </c>
      <c r="K87" s="86"/>
      <c r="L87" s="87">
        <f>SUM(L19:L68)</f>
        <v>131155.83000000002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4.25">
      <c r="A88" s="88"/>
      <c r="B88" s="89"/>
      <c r="C88" s="89"/>
      <c r="D88" s="89"/>
      <c r="E88" s="89"/>
      <c r="F88" s="90"/>
      <c r="G88" s="135" t="s">
        <v>101</v>
      </c>
      <c r="H88" s="116"/>
      <c r="I88" s="116"/>
      <c r="J88" s="116"/>
      <c r="K88" s="116"/>
      <c r="L88" s="11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4.25">
      <c r="A89" s="91"/>
      <c r="B89" s="9"/>
      <c r="C89" s="9"/>
      <c r="D89" s="9"/>
      <c r="E89" s="9"/>
      <c r="F89" s="92"/>
      <c r="G89" s="9"/>
      <c r="H89" s="9"/>
      <c r="I89" s="9"/>
      <c r="J89" s="9"/>
      <c r="K89" s="9"/>
      <c r="L89" s="9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4.25">
      <c r="A90" s="94"/>
      <c r="B90" s="127" t="s">
        <v>102</v>
      </c>
      <c r="C90" s="107"/>
      <c r="D90" s="9"/>
      <c r="E90" s="9"/>
      <c r="F90" s="92"/>
      <c r="G90" s="9"/>
      <c r="H90" s="136" t="s">
        <v>103</v>
      </c>
      <c r="I90" s="107"/>
      <c r="J90" s="9"/>
      <c r="K90" s="9"/>
      <c r="L90" s="9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4.25">
      <c r="A91" s="94"/>
      <c r="B91" s="95"/>
      <c r="C91" s="95"/>
      <c r="D91" s="9"/>
      <c r="E91" s="9"/>
      <c r="F91" s="92"/>
      <c r="G91" s="9"/>
      <c r="H91" s="96"/>
      <c r="I91" s="96"/>
      <c r="J91" s="9"/>
      <c r="K91" s="9"/>
      <c r="L91" s="9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5">
      <c r="A92" s="91"/>
      <c r="B92" s="9"/>
      <c r="C92" s="97" t="s">
        <v>104</v>
      </c>
      <c r="D92" s="9"/>
      <c r="E92" s="9"/>
      <c r="F92" s="92"/>
      <c r="G92" s="9"/>
      <c r="H92" s="98"/>
      <c r="I92" s="132" t="s">
        <v>105</v>
      </c>
      <c r="J92" s="107"/>
      <c r="K92" s="9"/>
      <c r="L92" s="9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4.25">
      <c r="A93" s="91"/>
      <c r="B93" s="9"/>
      <c r="C93" s="99" t="s">
        <v>106</v>
      </c>
      <c r="D93" s="9"/>
      <c r="E93" s="9"/>
      <c r="F93" s="92"/>
      <c r="G93" s="9"/>
      <c r="H93" s="9"/>
      <c r="I93" s="133" t="s">
        <v>107</v>
      </c>
      <c r="J93" s="107"/>
      <c r="K93" s="9"/>
      <c r="L93" s="9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4.25">
      <c r="A94" s="91"/>
      <c r="B94" s="9"/>
      <c r="C94" s="9"/>
      <c r="D94" s="9"/>
      <c r="E94" s="9"/>
      <c r="F94" s="92"/>
      <c r="G94" s="9"/>
      <c r="H94" s="9"/>
      <c r="I94" s="9"/>
      <c r="J94" s="9"/>
      <c r="K94" s="9"/>
      <c r="L94" s="9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4.25">
      <c r="A95" s="88"/>
      <c r="B95" s="89"/>
      <c r="C95" s="134" t="s">
        <v>108</v>
      </c>
      <c r="D95" s="113"/>
      <c r="E95" s="113"/>
      <c r="F95" s="90"/>
      <c r="G95" s="89"/>
      <c r="H95" s="89"/>
      <c r="I95" s="134" t="s">
        <v>109</v>
      </c>
      <c r="J95" s="113"/>
      <c r="K95" s="89"/>
      <c r="L95" s="10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2.7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2.7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2.7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2.7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2.7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</sheetData>
  <mergeCells count="37">
    <mergeCell ref="I92:J92"/>
    <mergeCell ref="I93:J93"/>
    <mergeCell ref="C95:E95"/>
    <mergeCell ref="I95:J95"/>
    <mergeCell ref="I10:L10"/>
    <mergeCell ref="I11:L11"/>
    <mergeCell ref="I12:L12"/>
    <mergeCell ref="G14:L15"/>
    <mergeCell ref="J16:L16"/>
    <mergeCell ref="G88:L88"/>
    <mergeCell ref="H90:I90"/>
    <mergeCell ref="C14:C18"/>
    <mergeCell ref="B90:C90"/>
    <mergeCell ref="A9:D9"/>
    <mergeCell ref="A10:D10"/>
    <mergeCell ref="A11:D11"/>
    <mergeCell ref="A14:A18"/>
    <mergeCell ref="B14:B18"/>
    <mergeCell ref="D14:F14"/>
    <mergeCell ref="F17:F18"/>
    <mergeCell ref="I9:L9"/>
    <mergeCell ref="D15:F15"/>
    <mergeCell ref="D16:F16"/>
    <mergeCell ref="G16:G17"/>
    <mergeCell ref="H16:H17"/>
    <mergeCell ref="I16:I17"/>
    <mergeCell ref="D17:D18"/>
    <mergeCell ref="E17:E18"/>
    <mergeCell ref="J17:J18"/>
    <mergeCell ref="K17:K18"/>
    <mergeCell ref="L17:L18"/>
    <mergeCell ref="A2:L2"/>
    <mergeCell ref="A3:L3"/>
    <mergeCell ref="J4:L4"/>
    <mergeCell ref="A6:L6"/>
    <mergeCell ref="A8:D8"/>
    <mergeCell ref="I8:L8"/>
  </mergeCells>
  <printOptions horizontalCentered="1" gridLines="1"/>
  <pageMargins left="0.7" right="0.7" top="0.75" bottom="0.75" header="0" footer="0"/>
  <pageSetup paperSize="5" pageOrder="overThenDown" orientation="landscape" cellComments="atEnd" fitToWidth="1" fitToHeight="0"/>
  <rowBreaks count="1" manualBreakCount="1">
    <brk id="43" min="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2:AU89"/>
  <sheetViews>
    <sheetView workbookViewId="0"/>
  </sheetViews>
  <sheetFormatPr defaultColWidth="12.5703125" defaultRowHeight="15.75" customHeight="1"/>
  <cols>
    <col min="2" max="2" width="22.140625" customWidth="1"/>
    <col min="3" max="3" width="25.28515625" customWidth="1"/>
    <col min="4" max="4" width="14.140625" customWidth="1"/>
    <col min="7" max="7" width="15.28515625" customWidth="1"/>
    <col min="10" max="10" width="28.42578125" customWidth="1"/>
    <col min="11" max="11" width="12.7109375" customWidth="1"/>
  </cols>
  <sheetData>
    <row r="2" spans="1:47" ht="16.5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47" ht="16.5">
      <c r="A3" s="108" t="s">
        <v>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1:47" ht="18.75">
      <c r="A4" s="1"/>
      <c r="B4" s="1"/>
      <c r="C4" s="2"/>
      <c r="D4" s="2"/>
      <c r="E4" s="2"/>
      <c r="F4" s="2"/>
      <c r="G4" s="2"/>
      <c r="H4" s="2"/>
      <c r="I4" s="2"/>
      <c r="J4" s="109" t="s">
        <v>2</v>
      </c>
      <c r="K4" s="107"/>
      <c r="L4" s="10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18.75">
      <c r="A5" s="1"/>
      <c r="B5" s="1"/>
      <c r="C5" s="2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8">
      <c r="A6" s="110" t="s">
        <v>3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18">
      <c r="A7" s="5"/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ht="18">
      <c r="A8" s="111" t="s">
        <v>4</v>
      </c>
      <c r="B8" s="107"/>
      <c r="C8" s="107"/>
      <c r="D8" s="107"/>
      <c r="E8" s="7"/>
      <c r="F8" s="5"/>
      <c r="G8" s="7"/>
      <c r="H8" s="7"/>
      <c r="I8" s="111" t="s">
        <v>5</v>
      </c>
      <c r="J8" s="107"/>
      <c r="K8" s="107"/>
      <c r="L8" s="10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ht="18">
      <c r="A9" s="111" t="s">
        <v>6</v>
      </c>
      <c r="B9" s="107"/>
      <c r="C9" s="107"/>
      <c r="D9" s="107"/>
      <c r="E9" s="7"/>
      <c r="F9" s="7"/>
      <c r="G9" s="7"/>
      <c r="H9" s="7"/>
      <c r="I9" s="111" t="s">
        <v>7</v>
      </c>
      <c r="J9" s="107"/>
      <c r="K9" s="107"/>
      <c r="L9" s="10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ht="18">
      <c r="A10" s="111" t="s">
        <v>8</v>
      </c>
      <c r="B10" s="107"/>
      <c r="C10" s="107"/>
      <c r="D10" s="107"/>
      <c r="E10" s="7"/>
      <c r="F10" s="7"/>
      <c r="G10" s="7"/>
      <c r="H10" s="7"/>
      <c r="I10" s="111" t="s">
        <v>9</v>
      </c>
      <c r="J10" s="107"/>
      <c r="K10" s="107"/>
      <c r="L10" s="10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ht="18">
      <c r="A11" s="111" t="s">
        <v>10</v>
      </c>
      <c r="B11" s="107"/>
      <c r="C11" s="107"/>
      <c r="D11" s="107"/>
      <c r="E11" s="7"/>
      <c r="F11" s="7"/>
      <c r="G11" s="7"/>
      <c r="H11" s="7"/>
      <c r="I11" s="111" t="s">
        <v>11</v>
      </c>
      <c r="J11" s="107"/>
      <c r="K11" s="107"/>
      <c r="L11" s="10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ht="18">
      <c r="A12" s="4"/>
      <c r="B12" s="5"/>
      <c r="C12" s="5"/>
      <c r="D12" s="5"/>
      <c r="E12" s="7"/>
      <c r="F12" s="5"/>
      <c r="G12" s="7"/>
      <c r="H12" s="7"/>
      <c r="I12" s="111" t="s">
        <v>12</v>
      </c>
      <c r="J12" s="107"/>
      <c r="K12" s="107"/>
      <c r="L12" s="10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ht="18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ht="18">
      <c r="A14" s="125" t="s">
        <v>13</v>
      </c>
      <c r="B14" s="128" t="s">
        <v>14</v>
      </c>
      <c r="C14" s="125" t="s">
        <v>15</v>
      </c>
      <c r="D14" s="129" t="s">
        <v>16</v>
      </c>
      <c r="E14" s="130"/>
      <c r="F14" s="131"/>
      <c r="G14" s="129" t="s">
        <v>17</v>
      </c>
      <c r="H14" s="130"/>
      <c r="I14" s="130"/>
      <c r="J14" s="130"/>
      <c r="K14" s="130"/>
      <c r="L14" s="13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ht="14.25">
      <c r="A15" s="126"/>
      <c r="B15" s="126"/>
      <c r="C15" s="126"/>
      <c r="D15" s="112">
        <v>-19901010</v>
      </c>
      <c r="E15" s="113"/>
      <c r="F15" s="114"/>
      <c r="G15" s="113"/>
      <c r="H15" s="113"/>
      <c r="I15" s="113"/>
      <c r="J15" s="113"/>
      <c r="K15" s="113"/>
      <c r="L15" s="11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ht="14.25">
      <c r="A16" s="126"/>
      <c r="B16" s="126"/>
      <c r="C16" s="126"/>
      <c r="D16" s="115" t="s">
        <v>18</v>
      </c>
      <c r="E16" s="116"/>
      <c r="F16" s="117"/>
      <c r="G16" s="118" t="s">
        <v>19</v>
      </c>
      <c r="H16" s="119" t="s">
        <v>20</v>
      </c>
      <c r="I16" s="118" t="s">
        <v>21</v>
      </c>
      <c r="J16" s="115" t="s">
        <v>22</v>
      </c>
      <c r="K16" s="116"/>
      <c r="L16" s="1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2.75">
      <c r="A17" s="126"/>
      <c r="B17" s="126"/>
      <c r="C17" s="126"/>
      <c r="D17" s="121" t="s">
        <v>23</v>
      </c>
      <c r="E17" s="122" t="s">
        <v>24</v>
      </c>
      <c r="F17" s="124" t="s">
        <v>25</v>
      </c>
      <c r="G17" s="114"/>
      <c r="H17" s="120"/>
      <c r="I17" s="114"/>
      <c r="J17" s="119" t="s">
        <v>26</v>
      </c>
      <c r="K17" s="123" t="s">
        <v>27</v>
      </c>
      <c r="L17" s="124" t="s">
        <v>18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2.75">
      <c r="A18" s="120"/>
      <c r="B18" s="120"/>
      <c r="C18" s="120"/>
      <c r="D18" s="120"/>
      <c r="E18" s="120"/>
      <c r="F18" s="114"/>
      <c r="G18" s="11">
        <v>5020301000</v>
      </c>
      <c r="H18" s="11">
        <v>5021299000</v>
      </c>
      <c r="I18" s="11">
        <v>5021202000</v>
      </c>
      <c r="J18" s="120"/>
      <c r="K18" s="120"/>
      <c r="L18" s="11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spans="1:47" ht="27.75" customHeight="1">
      <c r="A19" s="101">
        <v>46133</v>
      </c>
      <c r="B19" s="102">
        <v>2626050</v>
      </c>
      <c r="C19" s="15" t="s">
        <v>110</v>
      </c>
      <c r="D19" s="16">
        <v>253750</v>
      </c>
      <c r="E19" s="17"/>
      <c r="F19" s="16">
        <v>253750</v>
      </c>
      <c r="G19" s="18"/>
      <c r="H19" s="18"/>
      <c r="I19" s="18"/>
      <c r="J19" s="19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38.25">
      <c r="A20" s="38">
        <v>46141</v>
      </c>
      <c r="B20" s="22" t="s">
        <v>111</v>
      </c>
      <c r="C20" s="33" t="s">
        <v>112</v>
      </c>
      <c r="D20" s="24"/>
      <c r="E20" s="25">
        <v>7392.37</v>
      </c>
      <c r="F20" s="26">
        <f t="shared" ref="F20:F52" si="0">F19-E20</f>
        <v>246357.63</v>
      </c>
      <c r="G20" s="26"/>
      <c r="H20" s="26"/>
      <c r="I20" s="25"/>
      <c r="J20" s="103" t="s">
        <v>41</v>
      </c>
      <c r="K20" s="104">
        <v>5020402000</v>
      </c>
      <c r="L20" s="25">
        <v>7392.37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25.5">
      <c r="A21" s="21">
        <v>46141</v>
      </c>
      <c r="B21" s="22" t="s">
        <v>113</v>
      </c>
      <c r="C21" s="23" t="s">
        <v>114</v>
      </c>
      <c r="D21" s="24"/>
      <c r="E21" s="25">
        <v>2999</v>
      </c>
      <c r="F21" s="26">
        <f t="shared" si="0"/>
        <v>243358.63</v>
      </c>
      <c r="G21" s="26"/>
      <c r="H21" s="26"/>
      <c r="I21" s="25"/>
      <c r="J21" s="103" t="s">
        <v>38</v>
      </c>
      <c r="K21" s="104">
        <v>5020503000</v>
      </c>
      <c r="L21" s="25">
        <v>2999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38.25">
      <c r="A22" s="21">
        <v>46142</v>
      </c>
      <c r="B22" s="22" t="s">
        <v>115</v>
      </c>
      <c r="C22" s="23" t="s">
        <v>116</v>
      </c>
      <c r="D22" s="20"/>
      <c r="E22" s="25">
        <v>7000</v>
      </c>
      <c r="F22" s="26">
        <f t="shared" si="0"/>
        <v>236358.63</v>
      </c>
      <c r="G22" s="26"/>
      <c r="H22" s="25">
        <v>7000</v>
      </c>
      <c r="I22" s="26"/>
      <c r="J22" s="24"/>
      <c r="K22" s="20"/>
      <c r="L22" s="2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25.5">
      <c r="A23" s="21">
        <v>46142</v>
      </c>
      <c r="B23" s="22" t="s">
        <v>117</v>
      </c>
      <c r="C23" s="23" t="s">
        <v>118</v>
      </c>
      <c r="D23" s="20"/>
      <c r="E23" s="25">
        <v>4000</v>
      </c>
      <c r="F23" s="26">
        <f t="shared" si="0"/>
        <v>232358.63</v>
      </c>
      <c r="G23" s="26"/>
      <c r="H23" s="25">
        <v>4000</v>
      </c>
      <c r="I23" s="25"/>
      <c r="J23" s="24"/>
      <c r="K23" s="20"/>
      <c r="L23" s="2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25.5">
      <c r="A24" s="21">
        <v>46142</v>
      </c>
      <c r="B24" s="22" t="s">
        <v>119</v>
      </c>
      <c r="C24" s="23" t="s">
        <v>120</v>
      </c>
      <c r="D24" s="24"/>
      <c r="E24" s="25">
        <v>4000</v>
      </c>
      <c r="F24" s="26">
        <f t="shared" si="0"/>
        <v>228358.63</v>
      </c>
      <c r="G24" s="26"/>
      <c r="H24" s="25"/>
      <c r="I24" s="25">
        <v>4000</v>
      </c>
      <c r="J24" s="28"/>
      <c r="K24" s="29"/>
      <c r="L24" s="2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51">
      <c r="A25" s="38">
        <v>46142</v>
      </c>
      <c r="B25" s="27" t="s">
        <v>121</v>
      </c>
      <c r="C25" s="23" t="s">
        <v>65</v>
      </c>
      <c r="D25" s="24"/>
      <c r="E25" s="25">
        <v>1020</v>
      </c>
      <c r="F25" s="26">
        <f t="shared" si="0"/>
        <v>227338.63</v>
      </c>
      <c r="G25" s="26"/>
      <c r="H25" s="26"/>
      <c r="I25" s="26"/>
      <c r="J25" s="103" t="s">
        <v>44</v>
      </c>
      <c r="K25" s="104">
        <v>5020101000</v>
      </c>
      <c r="L25" s="25">
        <v>1020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25.5">
      <c r="A26" s="21">
        <v>46146</v>
      </c>
      <c r="B26" s="27" t="s">
        <v>122</v>
      </c>
      <c r="C26" s="23" t="s">
        <v>123</v>
      </c>
      <c r="D26" s="24"/>
      <c r="E26" s="25">
        <v>2000</v>
      </c>
      <c r="F26" s="26">
        <f t="shared" si="0"/>
        <v>225338.63</v>
      </c>
      <c r="G26" s="26"/>
      <c r="H26" s="26"/>
      <c r="I26" s="26"/>
      <c r="J26" s="103" t="s">
        <v>50</v>
      </c>
      <c r="K26" s="104">
        <v>5020399000</v>
      </c>
      <c r="L26" s="32">
        <v>2000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51">
      <c r="A27" s="38">
        <v>46153</v>
      </c>
      <c r="B27" s="27" t="s">
        <v>124</v>
      </c>
      <c r="C27" s="23" t="s">
        <v>125</v>
      </c>
      <c r="D27" s="24"/>
      <c r="E27" s="25">
        <v>20841.990000000002</v>
      </c>
      <c r="F27" s="26">
        <f t="shared" si="0"/>
        <v>204496.64000000001</v>
      </c>
      <c r="G27" s="25"/>
      <c r="H27" s="26"/>
      <c r="I27" s="26"/>
      <c r="J27" s="50" t="s">
        <v>68</v>
      </c>
      <c r="K27" s="105">
        <v>5020201000</v>
      </c>
      <c r="L27" s="29">
        <v>20841.990000000002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63.75">
      <c r="A28" s="38">
        <v>46161</v>
      </c>
      <c r="B28" s="27" t="s">
        <v>126</v>
      </c>
      <c r="C28" s="23" t="s">
        <v>127</v>
      </c>
      <c r="D28" s="24"/>
      <c r="E28" s="25">
        <v>15340</v>
      </c>
      <c r="F28" s="26">
        <f t="shared" si="0"/>
        <v>189156.64</v>
      </c>
      <c r="G28" s="34"/>
      <c r="H28" s="35"/>
      <c r="I28" s="35"/>
      <c r="J28" s="50" t="s">
        <v>68</v>
      </c>
      <c r="K28" s="105">
        <v>5020201000</v>
      </c>
      <c r="L28" s="25">
        <v>15340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2.75">
      <c r="A29" s="21"/>
      <c r="B29" s="27"/>
      <c r="C29" s="33"/>
      <c r="D29" s="24"/>
      <c r="E29" s="25"/>
      <c r="F29" s="26">
        <f t="shared" si="0"/>
        <v>189156.64</v>
      </c>
      <c r="G29" s="26"/>
      <c r="H29" s="26"/>
      <c r="I29" s="26"/>
      <c r="J29" s="28"/>
      <c r="K29" s="29"/>
      <c r="L29" s="2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2.75">
      <c r="A30" s="21"/>
      <c r="B30" s="27"/>
      <c r="C30" s="23"/>
      <c r="D30" s="24"/>
      <c r="E30" s="25"/>
      <c r="F30" s="26">
        <f t="shared" si="0"/>
        <v>189156.64</v>
      </c>
      <c r="G30" s="26"/>
      <c r="H30" s="26"/>
      <c r="I30" s="26"/>
      <c r="J30" s="28"/>
      <c r="K30" s="29"/>
      <c r="L30" s="2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2.75">
      <c r="A31" s="21"/>
      <c r="B31" s="27"/>
      <c r="C31" s="33"/>
      <c r="D31" s="24"/>
      <c r="E31" s="25"/>
      <c r="F31" s="26">
        <f t="shared" si="0"/>
        <v>189156.64</v>
      </c>
      <c r="G31" s="26"/>
      <c r="H31" s="26"/>
      <c r="I31" s="26"/>
      <c r="J31" s="36"/>
      <c r="K31" s="31"/>
      <c r="L31" s="2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2.75">
      <c r="A32" s="21"/>
      <c r="B32" s="27"/>
      <c r="C32" s="23"/>
      <c r="D32" s="24"/>
      <c r="E32" s="25"/>
      <c r="F32" s="26">
        <f t="shared" si="0"/>
        <v>189156.64</v>
      </c>
      <c r="G32" s="26"/>
      <c r="H32" s="26"/>
      <c r="I32" s="25"/>
      <c r="J32" s="24"/>
      <c r="K32" s="20"/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2.75">
      <c r="A33" s="21"/>
      <c r="B33" s="27"/>
      <c r="C33" s="23"/>
      <c r="D33" s="20"/>
      <c r="E33" s="25"/>
      <c r="F33" s="26">
        <f t="shared" si="0"/>
        <v>189156.64</v>
      </c>
      <c r="G33" s="26"/>
      <c r="H33" s="26"/>
      <c r="I33" s="25"/>
      <c r="J33" s="24"/>
      <c r="K33" s="20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2.75">
      <c r="A34" s="21"/>
      <c r="B34" s="27"/>
      <c r="C34" s="23"/>
      <c r="D34" s="20"/>
      <c r="E34" s="25"/>
      <c r="F34" s="26">
        <f t="shared" si="0"/>
        <v>189156.64</v>
      </c>
      <c r="G34" s="26"/>
      <c r="H34" s="25"/>
      <c r="I34" s="26"/>
      <c r="J34" s="24"/>
      <c r="K34" s="20"/>
      <c r="L34" s="20"/>
      <c r="M34" s="3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2.75">
      <c r="A35" s="21"/>
      <c r="B35" s="27"/>
      <c r="C35" s="23"/>
      <c r="D35" s="20"/>
      <c r="E35" s="25"/>
      <c r="F35" s="26">
        <f t="shared" si="0"/>
        <v>189156.64</v>
      </c>
      <c r="G35" s="26"/>
      <c r="H35" s="25"/>
      <c r="I35" s="26"/>
      <c r="J35" s="24"/>
      <c r="K35" s="20"/>
      <c r="L35" s="2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2.75">
      <c r="A36" s="38"/>
      <c r="B36" s="27"/>
      <c r="C36" s="39"/>
      <c r="D36" s="20"/>
      <c r="E36" s="40"/>
      <c r="F36" s="41">
        <f t="shared" si="0"/>
        <v>189156.64</v>
      </c>
      <c r="G36" s="25"/>
      <c r="H36" s="42"/>
      <c r="I36" s="26"/>
      <c r="J36" s="28"/>
      <c r="K36" s="43"/>
      <c r="L36" s="4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2.75">
      <c r="A37" s="21"/>
      <c r="B37" s="27"/>
      <c r="C37" s="23"/>
      <c r="D37" s="20"/>
      <c r="E37" s="25"/>
      <c r="F37" s="26">
        <f t="shared" si="0"/>
        <v>189156.64</v>
      </c>
      <c r="G37" s="26"/>
      <c r="H37" s="26"/>
      <c r="I37" s="26"/>
      <c r="J37" s="28"/>
      <c r="K37" s="29"/>
      <c r="L37" s="3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2.75">
      <c r="A38" s="38"/>
      <c r="B38" s="27"/>
      <c r="C38" s="23"/>
      <c r="D38" s="20"/>
      <c r="E38" s="25"/>
      <c r="F38" s="26">
        <f t="shared" si="0"/>
        <v>189156.64</v>
      </c>
      <c r="G38" s="26"/>
      <c r="H38" s="26"/>
      <c r="I38" s="26"/>
      <c r="J38" s="28"/>
      <c r="K38" s="29"/>
      <c r="L38" s="3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2.75">
      <c r="A39" s="38"/>
      <c r="B39" s="27"/>
      <c r="C39" s="23"/>
      <c r="D39" s="20"/>
      <c r="E39" s="25"/>
      <c r="F39" s="26">
        <f t="shared" si="0"/>
        <v>189156.64</v>
      </c>
      <c r="G39" s="26"/>
      <c r="H39" s="26"/>
      <c r="I39" s="26"/>
      <c r="J39" s="45"/>
      <c r="K39" s="29"/>
      <c r="L39" s="3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2.75">
      <c r="A40" s="38"/>
      <c r="B40" s="27"/>
      <c r="C40" s="23"/>
      <c r="D40" s="20"/>
      <c r="E40" s="25"/>
      <c r="F40" s="26">
        <f t="shared" si="0"/>
        <v>189156.64</v>
      </c>
      <c r="G40" s="26"/>
      <c r="H40" s="26"/>
      <c r="I40" s="26"/>
      <c r="J40" s="46"/>
      <c r="K40" s="29"/>
      <c r="L40" s="2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2.75">
      <c r="A41" s="38"/>
      <c r="B41" s="27"/>
      <c r="C41" s="47"/>
      <c r="D41" s="20"/>
      <c r="E41" s="25"/>
      <c r="F41" s="26">
        <f t="shared" si="0"/>
        <v>189156.64</v>
      </c>
      <c r="G41" s="26"/>
      <c r="H41" s="26"/>
      <c r="I41" s="26"/>
      <c r="J41" s="48"/>
      <c r="K41" s="29"/>
      <c r="L41" s="2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2.75">
      <c r="A42" s="38"/>
      <c r="B42" s="27"/>
      <c r="C42" s="23"/>
      <c r="D42" s="20"/>
      <c r="E42" s="25"/>
      <c r="F42" s="26">
        <f t="shared" si="0"/>
        <v>189156.64</v>
      </c>
      <c r="G42" s="26"/>
      <c r="H42" s="26"/>
      <c r="I42" s="26"/>
      <c r="J42" s="28"/>
      <c r="K42" s="29"/>
      <c r="L42" s="2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2.75">
      <c r="A43" s="38"/>
      <c r="B43" s="27"/>
      <c r="C43" s="33"/>
      <c r="D43" s="20"/>
      <c r="E43" s="25"/>
      <c r="F43" s="26">
        <f t="shared" si="0"/>
        <v>189156.64</v>
      </c>
      <c r="G43" s="26"/>
      <c r="H43" s="26"/>
      <c r="I43" s="26"/>
      <c r="J43" s="36"/>
      <c r="K43" s="31"/>
      <c r="L43" s="2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2.75">
      <c r="A44" s="38"/>
      <c r="B44" s="27"/>
      <c r="C44" s="23"/>
      <c r="D44" s="20"/>
      <c r="E44" s="25"/>
      <c r="F44" s="26">
        <f t="shared" si="0"/>
        <v>189156.64</v>
      </c>
      <c r="G44" s="26"/>
      <c r="H44" s="26"/>
      <c r="I44" s="26"/>
      <c r="J44" s="28"/>
      <c r="K44" s="29"/>
      <c r="L44" s="2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2.75">
      <c r="A45" s="38"/>
      <c r="B45" s="27"/>
      <c r="C45" s="33"/>
      <c r="D45" s="20"/>
      <c r="E45" s="25"/>
      <c r="F45" s="26">
        <f t="shared" si="0"/>
        <v>189156.64</v>
      </c>
      <c r="G45" s="26"/>
      <c r="H45" s="26"/>
      <c r="I45" s="26"/>
      <c r="J45" s="28"/>
      <c r="K45" s="29"/>
      <c r="L45" s="2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2.75">
      <c r="A46" s="38"/>
      <c r="B46" s="27"/>
      <c r="C46" s="23"/>
      <c r="D46" s="20"/>
      <c r="E46" s="25"/>
      <c r="F46" s="26">
        <f t="shared" si="0"/>
        <v>189156.64</v>
      </c>
      <c r="G46" s="49"/>
      <c r="H46" s="26"/>
      <c r="I46" s="25"/>
      <c r="J46" s="50"/>
      <c r="K46" s="29"/>
      <c r="L46" s="3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2.75">
      <c r="A47" s="51"/>
      <c r="B47" s="52"/>
      <c r="C47" s="53"/>
      <c r="D47" s="54"/>
      <c r="E47" s="49"/>
      <c r="F47" s="35">
        <f t="shared" si="0"/>
        <v>189156.64</v>
      </c>
      <c r="G47" s="35"/>
      <c r="H47" s="49"/>
      <c r="I47" s="49"/>
      <c r="J47" s="55"/>
      <c r="K47" s="56"/>
      <c r="L47" s="5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</row>
    <row r="48" spans="1:47" ht="12.75">
      <c r="A48" s="38"/>
      <c r="B48" s="27"/>
      <c r="C48" s="23"/>
      <c r="D48" s="20"/>
      <c r="E48" s="25"/>
      <c r="F48" s="26">
        <f t="shared" si="0"/>
        <v>189156.64</v>
      </c>
      <c r="G48" s="26"/>
      <c r="H48" s="26"/>
      <c r="I48" s="25"/>
      <c r="J48" s="28"/>
      <c r="K48" s="29"/>
      <c r="L48" s="3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2.75">
      <c r="A49" s="21"/>
      <c r="B49" s="27"/>
      <c r="C49" s="23"/>
      <c r="D49" s="20"/>
      <c r="E49" s="32"/>
      <c r="F49" s="26">
        <f t="shared" si="0"/>
        <v>189156.64</v>
      </c>
      <c r="G49" s="26"/>
      <c r="H49" s="26"/>
      <c r="I49" s="25"/>
      <c r="J49" s="28"/>
      <c r="K49" s="29"/>
      <c r="L49" s="3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2.75">
      <c r="A50" s="21"/>
      <c r="B50" s="27"/>
      <c r="C50" s="23"/>
      <c r="D50" s="31"/>
      <c r="E50" s="25"/>
      <c r="F50" s="26">
        <f t="shared" si="0"/>
        <v>189156.64</v>
      </c>
      <c r="G50" s="26"/>
      <c r="H50" s="25"/>
      <c r="I50" s="26"/>
      <c r="J50" s="28"/>
      <c r="K50" s="29"/>
      <c r="L50" s="3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2.75">
      <c r="A51" s="21"/>
      <c r="B51" s="27"/>
      <c r="C51" s="23"/>
      <c r="D51" s="20"/>
      <c r="E51" s="25"/>
      <c r="F51" s="26">
        <f t="shared" si="0"/>
        <v>189156.64</v>
      </c>
      <c r="G51" s="42"/>
      <c r="H51" s="25"/>
      <c r="I51" s="42"/>
      <c r="J51" s="28"/>
      <c r="K51" s="29"/>
      <c r="L51" s="3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2.75">
      <c r="A52" s="21"/>
      <c r="B52" s="27"/>
      <c r="C52" s="39"/>
      <c r="D52" s="59"/>
      <c r="E52" s="32"/>
      <c r="F52" s="26">
        <f t="shared" si="0"/>
        <v>189156.64</v>
      </c>
      <c r="G52" s="32"/>
      <c r="H52" s="42"/>
      <c r="I52" s="42"/>
      <c r="J52" s="28"/>
      <c r="K52" s="29"/>
      <c r="L52" s="3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2.75">
      <c r="A53" s="60"/>
      <c r="B53" s="61"/>
      <c r="C53" s="62"/>
      <c r="D53" s="63"/>
      <c r="E53" s="32"/>
      <c r="F53" s="20"/>
      <c r="G53" s="32"/>
      <c r="H53" s="42"/>
      <c r="I53" s="42"/>
      <c r="J53" s="28"/>
      <c r="K53" s="29"/>
      <c r="L53" s="3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2.75">
      <c r="A54" s="60"/>
      <c r="B54" s="61"/>
      <c r="C54" s="62"/>
      <c r="D54" s="63"/>
      <c r="E54" s="32"/>
      <c r="F54" s="20"/>
      <c r="G54" s="32"/>
      <c r="H54" s="42"/>
      <c r="I54" s="42"/>
      <c r="J54" s="45"/>
      <c r="K54" s="64"/>
      <c r="L54" s="3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2.75">
      <c r="A55" s="60"/>
      <c r="B55" s="61"/>
      <c r="C55" s="62"/>
      <c r="D55" s="63"/>
      <c r="E55" s="32"/>
      <c r="F55" s="20"/>
      <c r="G55" s="32"/>
      <c r="H55" s="42"/>
      <c r="I55" s="42"/>
      <c r="J55" s="45"/>
      <c r="K55" s="64"/>
      <c r="L55" s="3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2.75">
      <c r="A56" s="51"/>
      <c r="B56" s="65"/>
      <c r="C56" s="53"/>
      <c r="D56" s="59"/>
      <c r="E56" s="32"/>
      <c r="F56" s="26">
        <f>F52-E56</f>
        <v>189156.64</v>
      </c>
      <c r="G56" s="32"/>
      <c r="H56" s="42"/>
      <c r="I56" s="42"/>
      <c r="J56" s="28"/>
      <c r="K56" s="29"/>
      <c r="L56" s="3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5">
      <c r="A57" s="66"/>
      <c r="B57" s="67"/>
      <c r="C57" s="68" t="s">
        <v>98</v>
      </c>
      <c r="D57" s="69"/>
      <c r="E57" s="69"/>
      <c r="F57" s="69"/>
      <c r="G57" s="70">
        <f t="shared" ref="G57:I57" si="1">SUM(G20:G56)</f>
        <v>0</v>
      </c>
      <c r="H57" s="70">
        <f t="shared" si="1"/>
        <v>11000</v>
      </c>
      <c r="I57" s="70">
        <f t="shared" si="1"/>
        <v>4000</v>
      </c>
      <c r="J57" s="71"/>
      <c r="K57" s="70"/>
      <c r="L57" s="70">
        <f>SUM(L21:L56)</f>
        <v>42200.990000000005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2.75">
      <c r="A58" s="66"/>
      <c r="B58" s="67"/>
      <c r="C58" s="67"/>
      <c r="D58" s="72"/>
      <c r="E58" s="72"/>
      <c r="F58" s="72"/>
      <c r="G58" s="72"/>
      <c r="H58" s="72"/>
      <c r="I58" s="72"/>
      <c r="J58" s="72"/>
      <c r="K58" s="72"/>
      <c r="L58" s="7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2.75">
      <c r="A59" s="66"/>
      <c r="B59" s="67"/>
      <c r="C59" s="67"/>
      <c r="D59" s="72"/>
      <c r="E59" s="72"/>
      <c r="F59" s="72"/>
      <c r="G59" s="72"/>
      <c r="H59" s="72"/>
      <c r="I59" s="72"/>
      <c r="J59" s="74" t="s">
        <v>99</v>
      </c>
      <c r="K59" s="75"/>
      <c r="L59" s="7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2.75">
      <c r="A60" s="66"/>
      <c r="B60" s="67"/>
      <c r="C60" s="67"/>
      <c r="D60" s="72"/>
      <c r="E60" s="72"/>
      <c r="F60" s="72"/>
      <c r="G60" s="72"/>
      <c r="H60" s="72"/>
      <c r="I60" s="72"/>
      <c r="J60" s="77" t="s">
        <v>26</v>
      </c>
      <c r="K60" s="78" t="s">
        <v>27</v>
      </c>
      <c r="L60" s="77" t="s">
        <v>18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2.75">
      <c r="A61" s="66"/>
      <c r="B61" s="67"/>
      <c r="C61" s="67"/>
      <c r="D61" s="72"/>
      <c r="E61" s="72"/>
      <c r="F61" s="72"/>
      <c r="G61" s="72"/>
      <c r="H61" s="72"/>
      <c r="I61" s="72"/>
      <c r="J61" s="103" t="s">
        <v>44</v>
      </c>
      <c r="K61" s="104">
        <v>5020101000</v>
      </c>
      <c r="L61" s="3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2.75">
      <c r="A62" s="66"/>
      <c r="B62" s="67"/>
      <c r="C62" s="67"/>
      <c r="D62" s="72"/>
      <c r="E62" s="72"/>
      <c r="F62" s="72"/>
      <c r="G62" s="72"/>
      <c r="H62" s="72"/>
      <c r="I62" s="72"/>
      <c r="J62" s="103" t="s">
        <v>68</v>
      </c>
      <c r="K62" s="104">
        <v>5020201000</v>
      </c>
      <c r="L62" s="3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2.75">
      <c r="A63" s="66"/>
      <c r="B63" s="67"/>
      <c r="C63" s="67"/>
      <c r="D63" s="72"/>
      <c r="E63" s="72"/>
      <c r="F63" s="72"/>
      <c r="G63" s="72"/>
      <c r="H63" s="72"/>
      <c r="I63" s="72"/>
      <c r="J63" s="103" t="s">
        <v>128</v>
      </c>
      <c r="K63" s="104">
        <v>5020307000</v>
      </c>
      <c r="L63" s="3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2.75">
      <c r="A64" s="66"/>
      <c r="B64" s="67"/>
      <c r="C64" s="67"/>
      <c r="D64" s="72"/>
      <c r="E64" s="72"/>
      <c r="F64" s="72"/>
      <c r="G64" s="72"/>
      <c r="H64" s="72"/>
      <c r="I64" s="72"/>
      <c r="J64" s="103" t="s">
        <v>129</v>
      </c>
      <c r="K64" s="104">
        <v>5020309000</v>
      </c>
      <c r="L64" s="3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2.75">
      <c r="A65" s="66"/>
      <c r="B65" s="67"/>
      <c r="C65" s="67"/>
      <c r="D65" s="72"/>
      <c r="E65" s="72"/>
      <c r="F65" s="72"/>
      <c r="G65" s="72"/>
      <c r="H65" s="72"/>
      <c r="I65" s="72"/>
      <c r="J65" s="103" t="s">
        <v>50</v>
      </c>
      <c r="K65" s="104">
        <v>5020399000</v>
      </c>
      <c r="L65" s="3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2.75">
      <c r="A66" s="66"/>
      <c r="B66" s="67"/>
      <c r="C66" s="67"/>
      <c r="D66" s="72"/>
      <c r="E66" s="72"/>
      <c r="F66" s="72"/>
      <c r="G66" s="72"/>
      <c r="H66" s="72"/>
      <c r="I66" s="72"/>
      <c r="J66" s="103" t="s">
        <v>130</v>
      </c>
      <c r="K66" s="104">
        <v>5020401000</v>
      </c>
      <c r="L66" s="3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2.75">
      <c r="A67" s="66"/>
      <c r="B67" s="67"/>
      <c r="C67" s="67"/>
      <c r="D67" s="72"/>
      <c r="E67" s="72"/>
      <c r="F67" s="72"/>
      <c r="G67" s="72"/>
      <c r="H67" s="72"/>
      <c r="I67" s="72"/>
      <c r="J67" s="103" t="s">
        <v>41</v>
      </c>
      <c r="K67" s="104">
        <v>5020402000</v>
      </c>
      <c r="L67" s="3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2.75">
      <c r="A68" s="66"/>
      <c r="B68" s="67"/>
      <c r="C68" s="67"/>
      <c r="D68" s="72"/>
      <c r="E68" s="72"/>
      <c r="F68" s="72"/>
      <c r="G68" s="72"/>
      <c r="H68" s="72"/>
      <c r="I68" s="72"/>
      <c r="J68" s="103" t="s">
        <v>95</v>
      </c>
      <c r="K68" s="104">
        <v>5020501000</v>
      </c>
      <c r="L68" s="3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2.75">
      <c r="A69" s="66"/>
      <c r="B69" s="67"/>
      <c r="C69" s="67"/>
      <c r="D69" s="72"/>
      <c r="E69" s="72"/>
      <c r="F69" s="72"/>
      <c r="G69" s="72"/>
      <c r="H69" s="72"/>
      <c r="I69" s="72"/>
      <c r="J69" s="103" t="s">
        <v>131</v>
      </c>
      <c r="K69" s="104">
        <v>5020502001</v>
      </c>
      <c r="L69" s="3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2.75">
      <c r="A70" s="66"/>
      <c r="B70" s="67"/>
      <c r="C70" s="67"/>
      <c r="D70" s="72"/>
      <c r="E70" s="72"/>
      <c r="F70" s="72"/>
      <c r="G70" s="72"/>
      <c r="H70" s="72"/>
      <c r="I70" s="72"/>
      <c r="J70" s="103" t="s">
        <v>38</v>
      </c>
      <c r="K70" s="104">
        <v>5020503000</v>
      </c>
      <c r="L70" s="3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2.75">
      <c r="A71" s="66"/>
      <c r="B71" s="67"/>
      <c r="C71" s="67"/>
      <c r="D71" s="72"/>
      <c r="E71" s="72"/>
      <c r="F71" s="72"/>
      <c r="G71" s="72"/>
      <c r="H71" s="72"/>
      <c r="I71" s="72"/>
      <c r="J71" s="103" t="s">
        <v>132</v>
      </c>
      <c r="K71" s="104">
        <v>5021303000</v>
      </c>
      <c r="L71" s="3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2.75">
      <c r="A72" s="66"/>
      <c r="B72" s="67"/>
      <c r="C72" s="67"/>
      <c r="D72" s="72"/>
      <c r="E72" s="72"/>
      <c r="F72" s="72"/>
      <c r="G72" s="72"/>
      <c r="H72" s="72"/>
      <c r="I72" s="72"/>
      <c r="J72" s="103" t="s">
        <v>133</v>
      </c>
      <c r="K72" s="104">
        <v>5021304002</v>
      </c>
      <c r="L72" s="3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2.75">
      <c r="A73" s="66"/>
      <c r="B73" s="67"/>
      <c r="C73" s="67"/>
      <c r="D73" s="72"/>
      <c r="E73" s="72"/>
      <c r="F73" s="72"/>
      <c r="G73" s="72"/>
      <c r="H73" s="72"/>
      <c r="I73" s="72"/>
      <c r="J73" s="103" t="s">
        <v>73</v>
      </c>
      <c r="K73" s="104">
        <v>5021305002</v>
      </c>
      <c r="L73" s="3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2.75">
      <c r="A74" s="66"/>
      <c r="B74" s="67"/>
      <c r="C74" s="67"/>
      <c r="D74" s="72"/>
      <c r="E74" s="72"/>
      <c r="F74" s="72"/>
      <c r="G74" s="72"/>
      <c r="H74" s="72"/>
      <c r="I74" s="72"/>
      <c r="J74" s="103" t="s">
        <v>134</v>
      </c>
      <c r="K74" s="104">
        <v>5021502000</v>
      </c>
      <c r="L74" s="3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2.75">
      <c r="A75" s="66"/>
      <c r="B75" s="67"/>
      <c r="C75" s="67"/>
      <c r="D75" s="72"/>
      <c r="E75" s="72"/>
      <c r="F75" s="72"/>
      <c r="G75" s="72"/>
      <c r="H75" s="72"/>
      <c r="I75" s="72"/>
      <c r="J75" s="103" t="s">
        <v>63</v>
      </c>
      <c r="K75" s="104">
        <v>5029902000</v>
      </c>
      <c r="L75" s="3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2.75">
      <c r="A76" s="66"/>
      <c r="B76" s="67"/>
      <c r="C76" s="67"/>
      <c r="D76" s="84"/>
      <c r="E76" s="72"/>
      <c r="F76" s="72"/>
      <c r="G76" s="72"/>
      <c r="H76" s="72"/>
      <c r="I76" s="72"/>
      <c r="J76" s="85" t="s">
        <v>100</v>
      </c>
      <c r="K76" s="86"/>
      <c r="L76" s="87">
        <f>SUM(L70:L75)</f>
        <v>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4.25">
      <c r="A77" s="88"/>
      <c r="B77" s="89"/>
      <c r="C77" s="89"/>
      <c r="D77" s="89"/>
      <c r="E77" s="89"/>
      <c r="F77" s="90"/>
      <c r="G77" s="135" t="s">
        <v>101</v>
      </c>
      <c r="H77" s="116"/>
      <c r="I77" s="116"/>
      <c r="J77" s="116"/>
      <c r="K77" s="116"/>
      <c r="L77" s="11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4.25">
      <c r="A78" s="91"/>
      <c r="B78" s="9"/>
      <c r="C78" s="9"/>
      <c r="D78" s="9"/>
      <c r="E78" s="9"/>
      <c r="F78" s="92"/>
      <c r="G78" s="9"/>
      <c r="H78" s="9"/>
      <c r="I78" s="9"/>
      <c r="J78" s="9"/>
      <c r="K78" s="9"/>
      <c r="L78" s="9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4.25">
      <c r="A79" s="94"/>
      <c r="B79" s="127" t="s">
        <v>102</v>
      </c>
      <c r="C79" s="107"/>
      <c r="D79" s="9"/>
      <c r="E79" s="9"/>
      <c r="F79" s="92"/>
      <c r="G79" s="9"/>
      <c r="H79" s="136" t="s">
        <v>103</v>
      </c>
      <c r="I79" s="107"/>
      <c r="J79" s="9"/>
      <c r="K79" s="9"/>
      <c r="L79" s="9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4.25">
      <c r="A80" s="94"/>
      <c r="B80" s="95"/>
      <c r="C80" s="95"/>
      <c r="D80" s="9"/>
      <c r="E80" s="9"/>
      <c r="F80" s="92"/>
      <c r="G80" s="9"/>
      <c r="H80" s="96"/>
      <c r="I80" s="96"/>
      <c r="J80" s="9"/>
      <c r="K80" s="9"/>
      <c r="L80" s="9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5">
      <c r="A81" s="91"/>
      <c r="B81" s="9"/>
      <c r="C81" s="97" t="s">
        <v>104</v>
      </c>
      <c r="D81" s="9"/>
      <c r="E81" s="9"/>
      <c r="F81" s="92"/>
      <c r="G81" s="9"/>
      <c r="H81" s="98"/>
      <c r="I81" s="132" t="s">
        <v>105</v>
      </c>
      <c r="J81" s="107"/>
      <c r="K81" s="9"/>
      <c r="L81" s="9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4.25">
      <c r="A82" s="91"/>
      <c r="B82" s="9"/>
      <c r="C82" s="99" t="s">
        <v>106</v>
      </c>
      <c r="D82" s="9"/>
      <c r="E82" s="9"/>
      <c r="F82" s="92"/>
      <c r="G82" s="9"/>
      <c r="H82" s="9"/>
      <c r="I82" s="133" t="s">
        <v>107</v>
      </c>
      <c r="J82" s="107"/>
      <c r="K82" s="9"/>
      <c r="L82" s="9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4.25">
      <c r="A83" s="91"/>
      <c r="B83" s="9"/>
      <c r="C83" s="9"/>
      <c r="D83" s="9"/>
      <c r="E83" s="9"/>
      <c r="F83" s="92"/>
      <c r="G83" s="9"/>
      <c r="H83" s="9"/>
      <c r="I83" s="9"/>
      <c r="J83" s="9"/>
      <c r="K83" s="9"/>
      <c r="L83" s="9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4.25">
      <c r="A84" s="88"/>
      <c r="B84" s="89"/>
      <c r="C84" s="134" t="s">
        <v>108</v>
      </c>
      <c r="D84" s="113"/>
      <c r="E84" s="113"/>
      <c r="F84" s="90"/>
      <c r="G84" s="89"/>
      <c r="H84" s="89"/>
      <c r="I84" s="134" t="s">
        <v>109</v>
      </c>
      <c r="J84" s="113"/>
      <c r="K84" s="89"/>
      <c r="L84" s="10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2.7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2.7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2.7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2.7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2.7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37">
    <mergeCell ref="I82:J82"/>
    <mergeCell ref="C84:E84"/>
    <mergeCell ref="I84:J84"/>
    <mergeCell ref="I10:L10"/>
    <mergeCell ref="I11:L11"/>
    <mergeCell ref="I12:L12"/>
    <mergeCell ref="G14:L15"/>
    <mergeCell ref="J16:L16"/>
    <mergeCell ref="G77:L77"/>
    <mergeCell ref="B79:C79"/>
    <mergeCell ref="C14:C18"/>
    <mergeCell ref="D14:F14"/>
    <mergeCell ref="F17:F18"/>
    <mergeCell ref="H79:I79"/>
    <mergeCell ref="I81:J81"/>
    <mergeCell ref="I9:L9"/>
    <mergeCell ref="D15:F15"/>
    <mergeCell ref="D16:F16"/>
    <mergeCell ref="G16:G17"/>
    <mergeCell ref="H16:H17"/>
    <mergeCell ref="I16:I17"/>
    <mergeCell ref="D17:D18"/>
    <mergeCell ref="E17:E18"/>
    <mergeCell ref="J17:J18"/>
    <mergeCell ref="K17:K18"/>
    <mergeCell ref="L17:L18"/>
    <mergeCell ref="A9:D9"/>
    <mergeCell ref="A10:D10"/>
    <mergeCell ref="A11:D11"/>
    <mergeCell ref="A14:A18"/>
    <mergeCell ref="B14:B18"/>
    <mergeCell ref="A2:L2"/>
    <mergeCell ref="A3:L3"/>
    <mergeCell ref="J4:L4"/>
    <mergeCell ref="A6:L6"/>
    <mergeCell ref="A8:D8"/>
    <mergeCell ref="I8:L8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B21"/>
  <sheetViews>
    <sheetView workbookViewId="0"/>
  </sheetViews>
  <sheetFormatPr defaultColWidth="12.5703125" defaultRowHeight="15.75" customHeight="1"/>
  <cols>
    <col min="1" max="1" width="37.42578125" customWidth="1"/>
  </cols>
  <sheetData>
    <row r="1" spans="1:2">
      <c r="A1" s="105" t="s">
        <v>135</v>
      </c>
      <c r="B1" s="105" t="s">
        <v>136</v>
      </c>
    </row>
    <row r="2" spans="1:2">
      <c r="A2" s="105" t="s">
        <v>44</v>
      </c>
      <c r="B2" s="105">
        <v>5020101000</v>
      </c>
    </row>
    <row r="3" spans="1:2">
      <c r="A3" s="105" t="s">
        <v>68</v>
      </c>
      <c r="B3" s="105">
        <v>5020201000</v>
      </c>
    </row>
    <row r="4" spans="1:2">
      <c r="A4" s="105" t="s">
        <v>19</v>
      </c>
      <c r="B4" s="105">
        <v>5020301000</v>
      </c>
    </row>
    <row r="5" spans="1:2">
      <c r="A5" s="105" t="s">
        <v>128</v>
      </c>
      <c r="B5" s="105">
        <v>5020307000</v>
      </c>
    </row>
    <row r="6" spans="1:2">
      <c r="A6" s="105" t="s">
        <v>129</v>
      </c>
      <c r="B6" s="105">
        <v>5020309000</v>
      </c>
    </row>
    <row r="7" spans="1:2">
      <c r="A7" s="105" t="s">
        <v>50</v>
      </c>
      <c r="B7" s="105">
        <v>5020399000</v>
      </c>
    </row>
    <row r="8" spans="1:2">
      <c r="A8" s="105" t="s">
        <v>130</v>
      </c>
      <c r="B8" s="105">
        <v>5020401000</v>
      </c>
    </row>
    <row r="9" spans="1:2">
      <c r="A9" s="105" t="s">
        <v>41</v>
      </c>
      <c r="B9" s="105">
        <v>5020402000</v>
      </c>
    </row>
    <row r="10" spans="1:2">
      <c r="A10" s="105" t="s">
        <v>95</v>
      </c>
      <c r="B10" s="105">
        <v>5020501000</v>
      </c>
    </row>
    <row r="11" spans="1:2">
      <c r="A11" s="105" t="s">
        <v>131</v>
      </c>
      <c r="B11" s="105">
        <v>5020502001</v>
      </c>
    </row>
    <row r="12" spans="1:2">
      <c r="A12" s="105" t="s">
        <v>38</v>
      </c>
      <c r="B12" s="105">
        <v>5020503000</v>
      </c>
    </row>
    <row r="13" spans="1:2">
      <c r="A13" s="105" t="s">
        <v>137</v>
      </c>
      <c r="B13" s="105">
        <v>5020504000</v>
      </c>
    </row>
    <row r="14" spans="1:2">
      <c r="A14" s="105" t="s">
        <v>138</v>
      </c>
      <c r="B14" s="105">
        <v>5021199000</v>
      </c>
    </row>
    <row r="15" spans="1:2">
      <c r="A15" s="105" t="s">
        <v>21</v>
      </c>
      <c r="B15" s="105">
        <v>5021202000</v>
      </c>
    </row>
    <row r="16" spans="1:2">
      <c r="A16" s="105" t="s">
        <v>132</v>
      </c>
      <c r="B16" s="105">
        <v>5021303000</v>
      </c>
    </row>
    <row r="17" spans="1:2">
      <c r="A17" s="105" t="s">
        <v>20</v>
      </c>
      <c r="B17" s="105">
        <v>5021299000</v>
      </c>
    </row>
    <row r="18" spans="1:2">
      <c r="A18" s="105" t="s">
        <v>133</v>
      </c>
      <c r="B18" s="105">
        <v>5021304002</v>
      </c>
    </row>
    <row r="19" spans="1:2">
      <c r="A19" s="105" t="s">
        <v>73</v>
      </c>
      <c r="B19" s="105">
        <v>5021305002</v>
      </c>
    </row>
    <row r="20" spans="1:2">
      <c r="A20" s="105" t="s">
        <v>134</v>
      </c>
      <c r="B20" s="105">
        <v>5021502000</v>
      </c>
    </row>
    <row r="21" spans="1:2">
      <c r="A21" s="105" t="s">
        <v>63</v>
      </c>
      <c r="B21" s="105">
        <v>5029902000</v>
      </c>
    </row>
  </sheetData>
  <printOptions horizontalCentered="1" gridLines="1"/>
  <pageMargins left="0.7" right="0.7" top="0.75" bottom="0.75" header="0" footer="0"/>
  <pageSetup paperSize="5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Cabacungan ES-Q1</vt:lpstr>
      <vt:lpstr>Cabacungan ES-Q2</vt:lpstr>
      <vt:lpstr>UACS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 Ann</cp:lastModifiedBy>
  <dcterms:modified xsi:type="dcterms:W3CDTF">2026-06-24T10:44:38Z</dcterms:modified>
</cp:coreProperties>
</file>